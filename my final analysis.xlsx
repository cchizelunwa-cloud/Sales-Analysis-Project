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52dd987a787cd73b/Documents/"/>
    </mc:Choice>
  </mc:AlternateContent>
  <bookViews>
    <workbookView xWindow="0" yWindow="0" windowWidth="20490" windowHeight="7500" firstSheet="2" activeTab="4"/>
  </bookViews>
  <sheets>
    <sheet name="messy_sales_dataset_100_records" sheetId="1" r:id="rId1"/>
    <sheet name="SQL Dataset Project" sheetId="7" r:id="rId2"/>
    <sheet name="Catergory Pivot Table" sheetId="3" r:id="rId3"/>
    <sheet name="City Pivot Table " sheetId="5" r:id="rId4"/>
    <sheet name="Gender Pivot Table" sheetId="6" r:id="rId5"/>
    <sheet name="Cleaned Sales dataset" sheetId="2" r:id="rId6"/>
  </sheets>
  <calcPr calcId="162913"/>
  <pivotCaches>
    <pivotCache cacheId="0" r:id="rId7"/>
    <pivotCache cacheId="1" r:id="rId8"/>
  </pivotCaches>
</workbook>
</file>

<file path=xl/calcChain.xml><?xml version="1.0" encoding="utf-8"?>
<calcChain xmlns="http://schemas.openxmlformats.org/spreadsheetml/2006/main">
  <c r="B107" i="2" l="1"/>
  <c r="B106" i="2"/>
  <c r="U83" i="2"/>
  <c r="V83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B103" i="2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2" i="2"/>
  <c r="B105" i="2" s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2" i="2"/>
  <c r="B104" i="2" l="1"/>
  <c r="V2" i="2"/>
</calcChain>
</file>

<file path=xl/sharedStrings.xml><?xml version="1.0" encoding="utf-8"?>
<sst xmlns="http://schemas.openxmlformats.org/spreadsheetml/2006/main" count="2155" uniqueCount="159">
  <si>
    <t>OrderID</t>
  </si>
  <si>
    <t>OrderDate</t>
  </si>
  <si>
    <t>CustomerName</t>
  </si>
  <si>
    <t>Gender</t>
  </si>
  <si>
    <t>Product</t>
  </si>
  <si>
    <t>Category</t>
  </si>
  <si>
    <t>Quantity</t>
  </si>
  <si>
    <t>UnitPrice</t>
  </si>
  <si>
    <t>City</t>
  </si>
  <si>
    <t>Salesperson</t>
  </si>
  <si>
    <t>Peter Doe</t>
  </si>
  <si>
    <t>Female</t>
  </si>
  <si>
    <t>Printer</t>
  </si>
  <si>
    <t>Electronics</t>
  </si>
  <si>
    <t xml:space="preserve">Accra </t>
  </si>
  <si>
    <t>Emeka</t>
  </si>
  <si>
    <t>John Mensah</t>
  </si>
  <si>
    <t>Male</t>
  </si>
  <si>
    <t>Laptop</t>
  </si>
  <si>
    <t>Accra</t>
  </si>
  <si>
    <t>James Cole</t>
  </si>
  <si>
    <t>Mouse</t>
  </si>
  <si>
    <t xml:space="preserve"> kumasi</t>
  </si>
  <si>
    <t>Bob</t>
  </si>
  <si>
    <t>Kofi Asare</t>
  </si>
  <si>
    <t>Diana</t>
  </si>
  <si>
    <t>Abuja</t>
  </si>
  <si>
    <t>Alice</t>
  </si>
  <si>
    <t>Sarah Ann</t>
  </si>
  <si>
    <t>Notebook</t>
  </si>
  <si>
    <t>Stationery</t>
  </si>
  <si>
    <t xml:space="preserve"> mary boakye </t>
  </si>
  <si>
    <t>FEMALE</t>
  </si>
  <si>
    <t>Desk</t>
  </si>
  <si>
    <t>Furniture</t>
  </si>
  <si>
    <t>Lagos</t>
  </si>
  <si>
    <t>Grace Agyeman</t>
  </si>
  <si>
    <t>Charles</t>
  </si>
  <si>
    <t>Linda King</t>
  </si>
  <si>
    <t>male</t>
  </si>
  <si>
    <t>Lome</t>
  </si>
  <si>
    <t>David Smith</t>
  </si>
  <si>
    <t>Kumasi</t>
  </si>
  <si>
    <t>Ama Owusu</t>
  </si>
  <si>
    <t>Chair</t>
  </si>
  <si>
    <t>JOHN MENSAH</t>
  </si>
  <si>
    <t>15/03/2026</t>
  </si>
  <si>
    <t>Unknown</t>
  </si>
  <si>
    <t>Cleaned OrderID</t>
  </si>
  <si>
    <t>Cleaned OrderDate</t>
  </si>
  <si>
    <t>Cleaned Customer Name</t>
  </si>
  <si>
    <t>Cleaned Gender</t>
  </si>
  <si>
    <t>Cleaned Product</t>
  </si>
  <si>
    <t>Cleaned Category</t>
  </si>
  <si>
    <t>Cleaned Quantity</t>
  </si>
  <si>
    <t>Cleaned UnitPrice</t>
  </si>
  <si>
    <t>Cleaned City</t>
  </si>
  <si>
    <t>Cleaned SalesPerson</t>
  </si>
  <si>
    <t>Total Sales</t>
  </si>
  <si>
    <t>24/01/2026</t>
  </si>
  <si>
    <t>02/07/2026</t>
  </si>
  <si>
    <t>08/07/2026</t>
  </si>
  <si>
    <t>09/06/2026</t>
  </si>
  <si>
    <t>20/06/2026</t>
  </si>
  <si>
    <t>20/11/2026</t>
  </si>
  <si>
    <t>28/04/2026</t>
  </si>
  <si>
    <t>22/04/2026</t>
  </si>
  <si>
    <t>09/07/2026</t>
  </si>
  <si>
    <t>13/06/2026</t>
  </si>
  <si>
    <t>19/07/2026</t>
  </si>
  <si>
    <t>05/02/2026</t>
  </si>
  <si>
    <t>28/09/2026</t>
  </si>
  <si>
    <t>06/07/2026</t>
  </si>
  <si>
    <t>28/02/2026</t>
  </si>
  <si>
    <t>20/01/2026</t>
  </si>
  <si>
    <t>19/04/2026</t>
  </si>
  <si>
    <t>16/11/2026</t>
  </si>
  <si>
    <t>10/12/2026</t>
  </si>
  <si>
    <t>01/06/2026</t>
  </si>
  <si>
    <t>28/01/2026</t>
  </si>
  <si>
    <t>19/12/2026</t>
  </si>
  <si>
    <t>14/11/2026</t>
  </si>
  <si>
    <t>11/12/2026</t>
  </si>
  <si>
    <t>08/08/2026</t>
  </si>
  <si>
    <t>03/01/2026</t>
  </si>
  <si>
    <t>01/07/2026</t>
  </si>
  <si>
    <t>23/11/2026</t>
  </si>
  <si>
    <t>03/09/2026</t>
  </si>
  <si>
    <t>07/05/2026</t>
  </si>
  <si>
    <t>01/02/2026</t>
  </si>
  <si>
    <t>05/05/2026</t>
  </si>
  <si>
    <t>26/10/2026</t>
  </si>
  <si>
    <t>04/02/2026</t>
  </si>
  <si>
    <t>16/09/2026</t>
  </si>
  <si>
    <t>21/03/2026</t>
  </si>
  <si>
    <t>23/02/2026</t>
  </si>
  <si>
    <t>10/01/2026</t>
  </si>
  <si>
    <t>20/07/2026</t>
  </si>
  <si>
    <t>24/03/2026</t>
  </si>
  <si>
    <t>04/12/2026</t>
  </si>
  <si>
    <t>08/04/2026</t>
  </si>
  <si>
    <t>22/07/2026</t>
  </si>
  <si>
    <t>04/01/2026</t>
  </si>
  <si>
    <t>14/06/2026</t>
  </si>
  <si>
    <t>24/11/2026</t>
  </si>
  <si>
    <t>14/04/2026</t>
  </si>
  <si>
    <t>06/12/2026</t>
  </si>
  <si>
    <t>26/04/2026</t>
  </si>
  <si>
    <t>21/07/2026</t>
  </si>
  <si>
    <t>25/02/2026</t>
  </si>
  <si>
    <t>20/08/2026</t>
  </si>
  <si>
    <t>27/04/2026</t>
  </si>
  <si>
    <t>09/04/2026</t>
  </si>
  <si>
    <t>07/12/2026</t>
  </si>
  <si>
    <t>25/07/2026</t>
  </si>
  <si>
    <t>25/05/2026</t>
  </si>
  <si>
    <t>05/08/2026</t>
  </si>
  <si>
    <t>28/03/2026</t>
  </si>
  <si>
    <t>21/04/2026</t>
  </si>
  <si>
    <t>05/04/2026</t>
  </si>
  <si>
    <t>20/10/2026</t>
  </si>
  <si>
    <t>23/07/2026</t>
  </si>
  <si>
    <t>11/11/2026</t>
  </si>
  <si>
    <t>19/08/2026</t>
  </si>
  <si>
    <t>26/06/2026</t>
  </si>
  <si>
    <t>03/04/2026</t>
  </si>
  <si>
    <t>26/08/2026</t>
  </si>
  <si>
    <t>16/06/2026</t>
  </si>
  <si>
    <t>07/04/2026</t>
  </si>
  <si>
    <t>10/04/2026</t>
  </si>
  <si>
    <t>18/01/2026</t>
  </si>
  <si>
    <t>16/08/2026</t>
  </si>
  <si>
    <t>16/07/2026</t>
  </si>
  <si>
    <t>04/04/2026</t>
  </si>
  <si>
    <t>10/08/2026</t>
  </si>
  <si>
    <t>22/05/2026</t>
  </si>
  <si>
    <t>20/12/2026</t>
  </si>
  <si>
    <t>26/05/2026</t>
  </si>
  <si>
    <t>02/02/2026</t>
  </si>
  <si>
    <t>27/11/2026</t>
  </si>
  <si>
    <t>06/05/2026</t>
  </si>
  <si>
    <t>11/06/2026</t>
  </si>
  <si>
    <t>03/08/2026</t>
  </si>
  <si>
    <t>14/08/2026</t>
  </si>
  <si>
    <t>18/05/2026</t>
  </si>
  <si>
    <t>SALES ANALYSIS:</t>
  </si>
  <si>
    <t>Total Sales :</t>
  </si>
  <si>
    <t>Highest Sales:</t>
  </si>
  <si>
    <t>Lowest Sales:</t>
  </si>
  <si>
    <t>Num of Transaction:</t>
  </si>
  <si>
    <t>Row Labels</t>
  </si>
  <si>
    <t>Grand Total</t>
  </si>
  <si>
    <t>Sum of Total Sales</t>
  </si>
  <si>
    <t>Performance</t>
  </si>
  <si>
    <t xml:space="preserve"> Kumasi</t>
  </si>
  <si>
    <r>
      <rPr>
        <b/>
        <sz val="14"/>
        <color theme="1"/>
        <rFont val="Calibri"/>
        <family val="2"/>
        <scheme val="minor"/>
      </rPr>
      <t>Average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Sales</t>
    </r>
    <r>
      <rPr>
        <b/>
        <sz val="16"/>
        <color theme="1"/>
        <rFont val="Calibri"/>
        <family val="2"/>
        <scheme val="minor"/>
      </rPr>
      <t xml:space="preserve"> :</t>
    </r>
  </si>
  <si>
    <t>High</t>
  </si>
  <si>
    <t>Low</t>
  </si>
  <si>
    <t xml:space="preserve"> Mary Boakye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</si>
</sst>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₦-466]\ 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8" fillId="0" borderId="0" xfId="0" applyFont="1"/>
    <xf numFmtId="0" fontId="0" fillId="0" borderId="0" xfId="0" pivotButton="1"/>
    <xf numFmtId="0" fontId="0" fillId="0" borderId="0" xfId="0" applyNumberFormat="1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14" fontId="0" fillId="0" borderId="10" xfId="0" applyNumberFormat="1" applyBorder="1"/>
    <xf numFmtId="0" fontId="0" fillId="0" borderId="10" xfId="0" applyBorder="1" applyAlignment="1">
      <alignment horizontal="right"/>
    </xf>
    <xf numFmtId="164" fontId="16" fillId="0" borderId="10" xfId="0" applyNumberFormat="1" applyFont="1" applyBorder="1"/>
    <xf numFmtId="0" fontId="16" fillId="0" borderId="10" xfId="0" applyFont="1" applyBorder="1"/>
    <xf numFmtId="0" fontId="19" fillId="0" borderId="10" xfId="0" applyFont="1" applyBorder="1"/>
    <xf numFmtId="0" fontId="20" fillId="0" borderId="10" xfId="0" applyFont="1" applyBorder="1"/>
    <xf numFmtId="0" fontId="0" fillId="34" borderId="10" xfId="0" applyFill="1" applyBorder="1" applyAlignment="1">
      <alignment horizontal="center"/>
    </xf>
    <xf numFmtId="0" fontId="0" fillId="0" borderId="10" xfId="0" applyNumberFormat="1" applyBorder="1"/>
    <xf numFmtId="0" fontId="0" fillId="34" borderId="10" xfId="0" applyFill="1" applyBorder="1" applyAlignment="1">
      <alignment horizontal="left"/>
    </xf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final analysis.xlsx]Catergory 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Sales Performance</a:t>
            </a:r>
          </a:p>
          <a:p>
            <a:pPr>
              <a:defRPr/>
            </a:pPr>
            <a:r>
              <a:rPr lang="en-US"/>
              <a:t> by Category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'Catergory 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'Catergory Pivot Table'!$A$2:$A$5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'Catergory Pivot Table'!$B$2:$B$5</c:f>
              <c:numCache>
                <c:formatCode>General</c:formatCode>
                <c:ptCount val="3"/>
                <c:pt idx="0">
                  <c:v>181250</c:v>
                </c:pt>
                <c:pt idx="1">
                  <c:v>18115</c:v>
                </c:pt>
                <c:pt idx="2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B-495D-9A8C-89048CFB964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90752880"/>
        <c:axId val="1490753296"/>
      </c:barChart>
      <c:catAx>
        <c:axId val="149075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53296"/>
        <c:crosses val="autoZero"/>
        <c:auto val="1"/>
        <c:lblAlgn val="ctr"/>
        <c:lblOffset val="100"/>
        <c:noMultiLvlLbl val="0"/>
      </c:catAx>
      <c:valAx>
        <c:axId val="149075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5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final analysis.xlsx]City Pivot Table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Performance by city</a:t>
            </a:r>
          </a:p>
          <a:p>
            <a:pPr>
              <a:defRPr/>
            </a:pPr>
            <a:endParaRPr lang="en-US"/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'City Pivot Table '!$B$1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'City Pivot Table '!$A$2:$A$10</c:f>
              <c:strCache>
                <c:ptCount val="8"/>
                <c:pt idx="0">
                  <c:v> Kumasi</c:v>
                </c:pt>
                <c:pt idx="1">
                  <c:v>Abuja</c:v>
                </c:pt>
                <c:pt idx="2">
                  <c:v>Accra</c:v>
                </c:pt>
                <c:pt idx="3">
                  <c:v>Accra </c:v>
                </c:pt>
                <c:pt idx="4">
                  <c:v>Kumasi</c:v>
                </c:pt>
                <c:pt idx="5">
                  <c:v>Lagos</c:v>
                </c:pt>
                <c:pt idx="6">
                  <c:v>Lome</c:v>
                </c:pt>
                <c:pt idx="7">
                  <c:v>Unknown</c:v>
                </c:pt>
              </c:strCache>
            </c:strRef>
          </c:cat>
          <c:val>
            <c:numRef>
              <c:f>'City Pivot Table '!$B$2:$B$10</c:f>
              <c:numCache>
                <c:formatCode>General</c:formatCode>
                <c:ptCount val="8"/>
                <c:pt idx="0">
                  <c:v>17155</c:v>
                </c:pt>
                <c:pt idx="1">
                  <c:v>38055</c:v>
                </c:pt>
                <c:pt idx="2">
                  <c:v>40290</c:v>
                </c:pt>
                <c:pt idx="3">
                  <c:v>18505</c:v>
                </c:pt>
                <c:pt idx="4">
                  <c:v>30700</c:v>
                </c:pt>
                <c:pt idx="5">
                  <c:v>25130</c:v>
                </c:pt>
                <c:pt idx="6">
                  <c:v>29835</c:v>
                </c:pt>
                <c:pt idx="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73-4A89-BEF5-D9ABABC8B8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32681344"/>
        <c:axId val="1432680512"/>
      </c:lineChart>
      <c:catAx>
        <c:axId val="143268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680512"/>
        <c:crosses val="autoZero"/>
        <c:auto val="1"/>
        <c:lblAlgn val="ctr"/>
        <c:lblOffset val="100"/>
        <c:noMultiLvlLbl val="0"/>
      </c:catAx>
      <c:valAx>
        <c:axId val="143268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68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final analysis.xlsx]Gender Pivot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Performance by Gender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'Gender Pivot Table'!$B$1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DD4-4CFD-9DEC-0463E26BC4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D4-4CFD-9DEC-0463E26BC4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DD4-4CFD-9DEC-0463E26BC44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'Gender Pivot Table'!$A$2:$A$5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'Gender Pivot Table'!$B$2:$B$5</c:f>
              <c:numCache>
                <c:formatCode>General</c:formatCode>
                <c:ptCount val="3"/>
                <c:pt idx="0">
                  <c:v>110105</c:v>
                </c:pt>
                <c:pt idx="1">
                  <c:v>79230</c:v>
                </c:pt>
                <c:pt idx="2">
                  <c:v>10370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1-45EA-BC59-6887FB4346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190499</xdr:rowOff>
    </xdr:from>
    <xdr:to>
      <xdr:col>12</xdr:col>
      <xdr:colOff>361950</xdr:colOff>
      <xdr:row>19</xdr:row>
      <xdr:rowOff>47624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0</xdr:row>
      <xdr:rowOff>28575</xdr:rowOff>
    </xdr:from>
    <xdr:to>
      <xdr:col>11</xdr:col>
      <xdr:colOff>590550</xdr:colOff>
      <xdr:row>19</xdr:row>
      <xdr:rowOff>47624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233362</xdr:colOff>
      <xdr:row>0</xdr:row>
      <xdr:rowOff>9525</xdr:rowOff>
    </xdr:from>
    <xdr:to>
      <xdr:col>10</xdr:col>
      <xdr:colOff>538162</xdr:colOff>
      <xdr:row>19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12.596547106485" createdVersion="6" refreshedVersion="6" minRefreshableVersion="3" recordCount="99">
  <cacheSource type="worksheet">
    <worksheetSource ref="A1:U100" sheet="Cleaned Sales dataset"/>
  </cacheSource>
  <cacheFields count="21">
    <cacheField name="OrderID" numFmtId="0">
      <sharedItems containsSemiMixedTypes="0" containsString="0" containsNumber="1" containsInteger="1" minValue="1" maxValue="100"/>
    </cacheField>
    <cacheField name="OrderDate" numFmtId="0">
      <sharedItems containsDate="1" containsMixedTypes="1" minDate="2026-01-03T00:00:00" maxDate="2026-12-21T00:00:00"/>
    </cacheField>
    <cacheField name="CustomerName" numFmtId="0">
      <sharedItems/>
    </cacheField>
    <cacheField name="Gender" numFmtId="0">
      <sharedItems/>
    </cacheField>
    <cacheField name="Product" numFmtId="0">
      <sharedItems/>
    </cacheField>
    <cacheField name="Category" numFmtId="0">
      <sharedItems count="3">
        <s v="Electronics"/>
        <s v="Stationery"/>
        <s v="Furniture"/>
      </sharedItems>
    </cacheField>
    <cacheField name="Quantity" numFmtId="0">
      <sharedItems containsSemiMixedTypes="0" containsString="0" containsNumber="1" containsInteger="1" minValue="0" maxValue="10"/>
    </cacheField>
    <cacheField name="UnitPrice" numFmtId="0">
      <sharedItems containsSemiMixedTypes="0" containsString="0" containsNumber="1" containsInteger="1" minValue="0" maxValue="1200"/>
    </cacheField>
    <cacheField name="City" numFmtId="0">
      <sharedItems/>
    </cacheField>
    <cacheField name="Salesperson" numFmtId="0">
      <sharedItems/>
    </cacheField>
    <cacheField name="Cleaned OrderID" numFmtId="0">
      <sharedItems/>
    </cacheField>
    <cacheField name="Cleaned OrderDate" numFmtId="0">
      <sharedItems/>
    </cacheField>
    <cacheField name="Cleaned Customer Name" numFmtId="0">
      <sharedItems/>
    </cacheField>
    <cacheField name="Cleaned Gender" numFmtId="0">
      <sharedItems/>
    </cacheField>
    <cacheField name="Cleaned Product" numFmtId="0">
      <sharedItems/>
    </cacheField>
    <cacheField name="Cleaned Category" numFmtId="0">
      <sharedItems/>
    </cacheField>
    <cacheField name="Cleaned Quantity" numFmtId="0">
      <sharedItems/>
    </cacheField>
    <cacheField name="Cleaned UnitPrice" numFmtId="0">
      <sharedItems containsMixedTypes="1" containsNumber="1" containsInteger="1" minValue="0" maxValue="0"/>
    </cacheField>
    <cacheField name="Cleaned City" numFmtId="0">
      <sharedItems/>
    </cacheField>
    <cacheField name="Cleaned SalesPerson" numFmtId="0">
      <sharedItems/>
    </cacheField>
    <cacheField name="Total Sales" numFmtId="0">
      <sharedItems containsSemiMixedTypes="0" containsString="0" containsNumber="1" containsInteger="1" minValue="0" maxValue="1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212.610185648147" createdVersion="6" refreshedVersion="6" minRefreshableVersion="3" recordCount="99">
  <cacheSource type="worksheet">
    <worksheetSource ref="A1:V100" sheet="Cleaned Sales dataset"/>
  </cacheSource>
  <cacheFields count="22">
    <cacheField name="OrderID" numFmtId="0">
      <sharedItems containsSemiMixedTypes="0" containsString="0" containsNumber="1" containsInteger="1" minValue="1" maxValue="100"/>
    </cacheField>
    <cacheField name="OrderDate" numFmtId="0">
      <sharedItems containsDate="1" containsMixedTypes="1" minDate="2026-01-03T00:00:00" maxDate="2026-12-21T00:00:00"/>
    </cacheField>
    <cacheField name="CustomerName" numFmtId="0">
      <sharedItems/>
    </cacheField>
    <cacheField name="Gender" numFmtId="0">
      <sharedItems count="3">
        <s v="Female"/>
        <s v="Male"/>
        <s v="Unknown"/>
      </sharedItems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0" maxValue="10"/>
    </cacheField>
    <cacheField name="UnitPrice" numFmtId="0">
      <sharedItems containsSemiMixedTypes="0" containsString="0" containsNumber="1" containsInteger="1" minValue="0" maxValue="1200"/>
    </cacheField>
    <cacheField name="City" numFmtId="0">
      <sharedItems count="8">
        <s v="Accra "/>
        <s v="Accra"/>
        <s v=" kumasi"/>
        <s v="Abuja"/>
        <s v="Lagos"/>
        <s v="Lome"/>
        <s v="Kumasi"/>
        <s v="Unknown"/>
      </sharedItems>
    </cacheField>
    <cacheField name="Salesperson" numFmtId="0">
      <sharedItems/>
    </cacheField>
    <cacheField name="Cleaned OrderID" numFmtId="0">
      <sharedItems/>
    </cacheField>
    <cacheField name="Cleaned OrderDate" numFmtId="0">
      <sharedItems/>
    </cacheField>
    <cacheField name="Cleaned Customer Name" numFmtId="0">
      <sharedItems/>
    </cacheField>
    <cacheField name="Cleaned Gender" numFmtId="0">
      <sharedItems count="3">
        <s v="Female"/>
        <s v="Male"/>
        <s v="Unknown"/>
      </sharedItems>
    </cacheField>
    <cacheField name="Cleaned Product" numFmtId="0">
      <sharedItems/>
    </cacheField>
    <cacheField name="Cleaned Category" numFmtId="0">
      <sharedItems/>
    </cacheField>
    <cacheField name="Cleaned Quantity" numFmtId="0">
      <sharedItems/>
    </cacheField>
    <cacheField name="Cleaned UnitPrice" numFmtId="0">
      <sharedItems containsMixedTypes="1" containsNumber="1" containsInteger="1" minValue="0" maxValue="0"/>
    </cacheField>
    <cacheField name="Cleaned City" numFmtId="0">
      <sharedItems count="8">
        <s v="Accra "/>
        <s v="Accra"/>
        <s v=" Kumasi"/>
        <s v="Abuja"/>
        <s v="Lagos"/>
        <s v="Lome"/>
        <s v="Kumasi"/>
        <s v="Unknown"/>
      </sharedItems>
    </cacheField>
    <cacheField name="Cleaned SalesPerson" numFmtId="0">
      <sharedItems/>
    </cacheField>
    <cacheField name="Total Sales" numFmtId="0">
      <sharedItems containsSemiMixedTypes="0" containsString="0" containsNumber="1" containsInteger="1" minValue="0" maxValue="12000"/>
    </cacheField>
    <cacheField name="Performa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n v="1"/>
    <d v="2026-01-24T00:00:00"/>
    <s v="Peter Doe"/>
    <s v="Female"/>
    <s v="Printer"/>
    <x v="0"/>
    <n v="2"/>
    <n v="250"/>
    <s v="Accra "/>
    <s v="Emeka"/>
    <s v="1"/>
    <s v="24/01/2026"/>
    <s v="Peter Doe"/>
    <s v="Female"/>
    <s v="Printer"/>
    <s v="Electronics"/>
    <s v="2"/>
    <s v="250"/>
    <s v="Accra "/>
    <s v="Emeka"/>
    <n v="500"/>
  </r>
  <r>
    <n v="2"/>
    <d v="2026-07-02T00:00:00"/>
    <s v="John Mensah"/>
    <s v="Male"/>
    <s v="Laptop"/>
    <x v="0"/>
    <n v="10"/>
    <n v="1200"/>
    <s v="Accra"/>
    <s v="Emeka"/>
    <s v="2"/>
    <s v="02/07/2026"/>
    <s v="John Mensah"/>
    <s v="Male"/>
    <s v="Laptop"/>
    <s v="Electronics"/>
    <s v="10"/>
    <s v="1200"/>
    <s v="Accra"/>
    <s v="Emeka"/>
    <n v="12000"/>
  </r>
  <r>
    <n v="3"/>
    <d v="2026-07-08T00:00:00"/>
    <s v="James Cole"/>
    <s v="Unknown"/>
    <s v="Mouse"/>
    <x v="0"/>
    <n v="9"/>
    <n v="25"/>
    <s v=" kumasi"/>
    <s v="Bob"/>
    <s v="3"/>
    <s v="08/07/2026"/>
    <s v="James Cole"/>
    <s v="Unknown"/>
    <s v="Mouse"/>
    <s v="Electronics"/>
    <s v="9"/>
    <s v="25"/>
    <s v=" Kumasi"/>
    <s v="Bob"/>
    <n v="225"/>
  </r>
  <r>
    <n v="4"/>
    <d v="2026-06-09T00:00:00"/>
    <s v="Kofi Asare"/>
    <s v="Female"/>
    <s v="Printer"/>
    <x v="0"/>
    <n v="7"/>
    <n v="250"/>
    <s v="Accra"/>
    <s v="Diana"/>
    <s v="4"/>
    <s v="09/06/2026"/>
    <s v="Kofi Asare"/>
    <s v="Female"/>
    <s v="Printer"/>
    <s v="Electronics"/>
    <s v="7"/>
    <s v="250"/>
    <s v="Accra"/>
    <s v="Diana"/>
    <n v="1750"/>
  </r>
  <r>
    <n v="5"/>
    <d v="2026-06-20T00:00:00"/>
    <s v="Peter Doe"/>
    <s v="Male"/>
    <s v="Laptop"/>
    <x v="0"/>
    <n v="6"/>
    <n v="1200"/>
    <s v="Abuja"/>
    <s v="Alice"/>
    <s v="5"/>
    <s v="20/06/2026"/>
    <s v="Peter Doe"/>
    <s v="Male"/>
    <s v="Laptop"/>
    <s v="Electronics"/>
    <s v="6"/>
    <s v="1200"/>
    <s v="Abuja"/>
    <s v="Alice"/>
    <n v="7200"/>
  </r>
  <r>
    <n v="6"/>
    <d v="2026-11-20T00:00:00"/>
    <s v="Sarah Ann"/>
    <s v="Unknown"/>
    <s v="Notebook"/>
    <x v="1"/>
    <n v="5"/>
    <n v="5"/>
    <s v="Accra "/>
    <s v="Bob"/>
    <s v="6"/>
    <s v="20/11/2026"/>
    <s v="Sarah Ann"/>
    <s v="Unknown"/>
    <s v="Notebook"/>
    <s v="Stationery"/>
    <s v="5"/>
    <s v="5"/>
    <s v="Accra "/>
    <s v="Bob"/>
    <n v="25"/>
  </r>
  <r>
    <n v="7"/>
    <d v="2026-04-28T00:00:00"/>
    <s v=" mary boakye "/>
    <s v="Female"/>
    <s v="Desk"/>
    <x v="2"/>
    <n v="2"/>
    <n v="180"/>
    <s v="Lagos"/>
    <s v="Bob"/>
    <s v="7"/>
    <s v="28/04/2026"/>
    <s v=" Mary Boakye "/>
    <s v="Female"/>
    <s v="Desk"/>
    <s v="Furniture"/>
    <s v="2"/>
    <s v="180"/>
    <s v="Lagos"/>
    <s v="Bob"/>
    <n v="360"/>
  </r>
  <r>
    <n v="8"/>
    <d v="2026-04-22T00:00:00"/>
    <s v="Peter Doe"/>
    <s v="Male"/>
    <s v="Desk"/>
    <x v="2"/>
    <n v="6"/>
    <n v="180"/>
    <s v="Accra "/>
    <s v="Bob"/>
    <s v="8"/>
    <s v="22/04/2026"/>
    <s v="Peter Doe"/>
    <s v="Male"/>
    <s v="Desk"/>
    <s v="Furniture"/>
    <s v="6"/>
    <s v="180"/>
    <s v="Accra "/>
    <s v="Bob"/>
    <n v="1080"/>
  </r>
  <r>
    <n v="9"/>
    <d v="2026-07-09T00:00:00"/>
    <s v="Grace Agyeman"/>
    <s v="Female"/>
    <s v="Mouse"/>
    <x v="0"/>
    <n v="8"/>
    <n v="25"/>
    <s v=" kumasi"/>
    <s v="Alice"/>
    <s v="9"/>
    <s v="09/07/2026"/>
    <s v="Grace Agyeman"/>
    <s v="Female"/>
    <s v="Mouse"/>
    <s v="Electronics"/>
    <s v="8"/>
    <s v="25"/>
    <s v=" Kumasi"/>
    <s v="Alice"/>
    <n v="200"/>
  </r>
  <r>
    <n v="10"/>
    <d v="2026-06-13T00:00:00"/>
    <s v="Peter Doe"/>
    <s v="Male"/>
    <s v="Mouse"/>
    <x v="0"/>
    <n v="1"/>
    <n v="25"/>
    <s v="Accra "/>
    <s v="Charles"/>
    <s v="10"/>
    <s v="13/06/2026"/>
    <s v="Peter Doe"/>
    <s v="Male"/>
    <s v="Mouse"/>
    <s v="Electronics"/>
    <s v="1"/>
    <s v="25"/>
    <s v="Accra "/>
    <s v="Charles"/>
    <n v="25"/>
  </r>
  <r>
    <n v="12"/>
    <d v="2026-07-19T00:00:00"/>
    <s v="Linda King"/>
    <s v="Male"/>
    <s v="Desk"/>
    <x v="2"/>
    <n v="10"/>
    <n v="180"/>
    <s v="Lome"/>
    <s v="Diana"/>
    <s v="12"/>
    <s v="19/07/2026"/>
    <s v="Linda King"/>
    <s v="Male"/>
    <s v="Desk"/>
    <s v="Furniture"/>
    <s v="10"/>
    <s v="180"/>
    <s v="Lome"/>
    <s v="Diana"/>
    <n v="1800"/>
  </r>
  <r>
    <n v="13"/>
    <d v="2026-02-05T00:00:00"/>
    <s v="Kofi Asare"/>
    <s v="Female"/>
    <s v="Laptop"/>
    <x v="0"/>
    <n v="1"/>
    <n v="1200"/>
    <s v="Lome"/>
    <s v="Diana"/>
    <s v="13"/>
    <s v="05/02/2026"/>
    <s v="Kofi Asare"/>
    <s v="Female"/>
    <s v="Laptop"/>
    <s v="Electronics"/>
    <s v="1"/>
    <s v="1200"/>
    <s v="Lome"/>
    <s v="Diana"/>
    <n v="1200"/>
  </r>
  <r>
    <n v="14"/>
    <d v="2026-09-28T00:00:00"/>
    <s v="John Mensah"/>
    <s v="Male"/>
    <s v="Notebook"/>
    <x v="1"/>
    <n v="5"/>
    <n v="5"/>
    <s v="Lagos"/>
    <s v="Charles"/>
    <s v="14"/>
    <s v="28/09/2026"/>
    <s v="John Mensah"/>
    <s v="Male"/>
    <s v="Notebook"/>
    <s v="Stationery"/>
    <s v="5"/>
    <s v="5"/>
    <s v="Lagos"/>
    <s v="Charles"/>
    <n v="25"/>
  </r>
  <r>
    <n v="15"/>
    <d v="2026-07-06T00:00:00"/>
    <s v="James Cole"/>
    <s v="Male"/>
    <s v="Laptop"/>
    <x v="0"/>
    <n v="5"/>
    <n v="1200"/>
    <s v="Lagos"/>
    <s v="Emeka"/>
    <s v="15"/>
    <s v="06/07/2026"/>
    <s v="James Cole"/>
    <s v="Male"/>
    <s v="Laptop"/>
    <s v="Electronics"/>
    <s v="5"/>
    <s v="1200"/>
    <s v="Lagos"/>
    <s v="Emeka"/>
    <n v="6000"/>
  </r>
  <r>
    <n v="16"/>
    <d v="2026-02-28T00:00:00"/>
    <s v="Peter Doe"/>
    <s v="Unknown"/>
    <s v="Mouse"/>
    <x v="0"/>
    <n v="9"/>
    <n v="25"/>
    <s v=" kumasi"/>
    <s v="Bob"/>
    <s v="16"/>
    <s v="28/02/2026"/>
    <s v="Peter Doe"/>
    <s v="Unknown"/>
    <s v="Mouse"/>
    <s v="Electronics"/>
    <s v="9"/>
    <s v="25"/>
    <s v=" Kumasi"/>
    <s v="Bob"/>
    <n v="225"/>
  </r>
  <r>
    <n v="17"/>
    <d v="2026-01-20T00:00:00"/>
    <s v="Sarah Ann"/>
    <s v="Female"/>
    <s v="Notebook"/>
    <x v="1"/>
    <n v="0"/>
    <n v="5"/>
    <s v=" kumasi"/>
    <s v="Charles"/>
    <s v="17"/>
    <s v="20/01/2026"/>
    <s v="Sarah Ann"/>
    <s v="Female"/>
    <s v="Notebook"/>
    <s v="Stationery"/>
    <s v="0"/>
    <s v="5"/>
    <s v=" Kumasi"/>
    <s v="Charles"/>
    <n v="0"/>
  </r>
  <r>
    <n v="18"/>
    <d v="2026-04-19T00:00:00"/>
    <s v=" mary boakye "/>
    <s v="Male"/>
    <s v="Mouse"/>
    <x v="0"/>
    <n v="1"/>
    <n v="25"/>
    <s v=" kumasi"/>
    <s v="Emeka"/>
    <s v="18"/>
    <s v="19/04/2026"/>
    <s v=" Mary Boakye "/>
    <s v="Male"/>
    <s v="Mouse"/>
    <s v="Electronics"/>
    <s v="1"/>
    <s v="25"/>
    <s v=" Kumasi"/>
    <s v="Emeka"/>
    <n v="25"/>
  </r>
  <r>
    <n v="19"/>
    <d v="2026-11-16T00:00:00"/>
    <s v="Grace Agyeman"/>
    <s v="Female"/>
    <s v="Mouse"/>
    <x v="0"/>
    <n v="3"/>
    <n v="25"/>
    <s v="Abuja"/>
    <s v="Bob"/>
    <s v="19"/>
    <s v="16/11/2026"/>
    <s v="Grace Agyeman"/>
    <s v="Female"/>
    <s v="Mouse"/>
    <s v="Electronics"/>
    <s v="3"/>
    <s v="25"/>
    <s v="Abuja"/>
    <s v="Bob"/>
    <n v="75"/>
  </r>
  <r>
    <n v="20"/>
    <d v="2026-12-10T00:00:00"/>
    <s v="Linda King"/>
    <s v="Male"/>
    <s v="Notebook"/>
    <x v="1"/>
    <n v="4"/>
    <n v="5"/>
    <s v="Accra"/>
    <s v="Bob"/>
    <s v="20"/>
    <s v="10/12/2026"/>
    <s v="Linda King"/>
    <s v="Male"/>
    <s v="Notebook"/>
    <s v="Stationery"/>
    <s v="4"/>
    <s v="5"/>
    <s v="Accra"/>
    <s v="Bob"/>
    <n v="20"/>
  </r>
  <r>
    <n v="21"/>
    <d v="2026-06-01T00:00:00"/>
    <s v="David Smith"/>
    <s v="Unknown"/>
    <s v="Mouse"/>
    <x v="0"/>
    <n v="2"/>
    <n v="25"/>
    <s v="Accra"/>
    <s v="Alice"/>
    <s v="21"/>
    <s v="01/06/2026"/>
    <s v="David Smith"/>
    <s v="Unknown"/>
    <s v="Mouse"/>
    <s v="Electronics"/>
    <s v="2"/>
    <s v="25"/>
    <s v="Accra"/>
    <s v="Alice"/>
    <n v="50"/>
  </r>
  <r>
    <n v="22"/>
    <d v="2026-01-28T00:00:00"/>
    <s v="Sarah Ann"/>
    <s v="Male"/>
    <s v="Mouse"/>
    <x v="0"/>
    <n v="2"/>
    <n v="25"/>
    <s v="Abuja"/>
    <s v="Bob"/>
    <s v="22"/>
    <s v="28/01/2026"/>
    <s v="Sarah Ann"/>
    <s v="Male"/>
    <s v="Mouse"/>
    <s v="Electronics"/>
    <s v="2"/>
    <s v="25"/>
    <s v="Abuja"/>
    <s v="Bob"/>
    <n v="50"/>
  </r>
  <r>
    <n v="23"/>
    <d v="2026-12-19T00:00:00"/>
    <s v="David Smith"/>
    <s v="Female"/>
    <s v="Notebook"/>
    <x v="1"/>
    <n v="3"/>
    <n v="5"/>
    <s v="Abuja"/>
    <s v="Bob"/>
    <s v="23"/>
    <s v="19/12/2026"/>
    <s v="David Smith"/>
    <s v="Female"/>
    <s v="Notebook"/>
    <s v="Stationery"/>
    <s v="3"/>
    <s v="5"/>
    <s v="Abuja"/>
    <s v="Bob"/>
    <n v="15"/>
  </r>
  <r>
    <n v="24"/>
    <d v="2026-11-14T00:00:00"/>
    <s v="Sarah Ann"/>
    <s v="Female"/>
    <s v="Laptop"/>
    <x v="0"/>
    <n v="2"/>
    <n v="1200"/>
    <s v="Accra"/>
    <s v="Alice"/>
    <s v="24"/>
    <s v="14/11/2026"/>
    <s v="Sarah Ann"/>
    <s v="Female"/>
    <s v="Laptop"/>
    <s v="Electronics"/>
    <s v="2"/>
    <s v="1200"/>
    <s v="Accra"/>
    <s v="Alice"/>
    <n v="2400"/>
  </r>
  <r>
    <n v="25"/>
    <d v="2026-12-11T00:00:00"/>
    <s v=" mary boakye "/>
    <s v="Female"/>
    <s v="Laptop"/>
    <x v="0"/>
    <n v="7"/>
    <n v="1200"/>
    <s v="Kumasi"/>
    <s v="Diana"/>
    <s v="25"/>
    <s v="11/12/2026"/>
    <s v=" Mary Boakye "/>
    <s v="Female"/>
    <s v="Laptop"/>
    <s v="Electronics"/>
    <s v="7"/>
    <s v="1200"/>
    <s v="Kumasi"/>
    <s v="Diana"/>
    <n v="8400"/>
  </r>
  <r>
    <n v="26"/>
    <d v="2026-08-08T00:00:00"/>
    <s v=" mary boakye "/>
    <s v="Female"/>
    <s v="Mouse"/>
    <x v="0"/>
    <n v="5"/>
    <n v="25"/>
    <s v="Accra"/>
    <s v="Alice"/>
    <s v="26"/>
    <s v="08/08/2026"/>
    <s v=" Mary Boakye "/>
    <s v="Female"/>
    <s v="Mouse"/>
    <s v="Electronics"/>
    <s v="5"/>
    <s v="25"/>
    <s v="Accra"/>
    <s v="Alice"/>
    <n v="125"/>
  </r>
  <r>
    <n v="27"/>
    <d v="2026-01-03T00:00:00"/>
    <s v="Ama Owusu"/>
    <s v="Female"/>
    <s v="Printer"/>
    <x v="0"/>
    <n v="9"/>
    <n v="250"/>
    <s v=" kumasi"/>
    <s v="Diana"/>
    <s v="27"/>
    <s v="03/01/2026"/>
    <s v="Ama Owusu"/>
    <s v="Female"/>
    <s v="Printer"/>
    <s v="Electronics"/>
    <s v="9"/>
    <s v="250"/>
    <s v=" Kumasi"/>
    <s v="Diana"/>
    <n v="2250"/>
  </r>
  <r>
    <n v="28"/>
    <d v="2026-07-01T00:00:00"/>
    <s v="Linda King"/>
    <s v="Male"/>
    <s v="Laptop"/>
    <x v="0"/>
    <n v="3"/>
    <n v="1200"/>
    <s v="Lagos"/>
    <s v="Diana"/>
    <s v="28"/>
    <s v="01/07/2026"/>
    <s v="Linda King"/>
    <s v="Male"/>
    <s v="Laptop"/>
    <s v="Electronics"/>
    <s v="3"/>
    <s v="1200"/>
    <s v="Lagos"/>
    <s v="Diana"/>
    <n v="3600"/>
  </r>
  <r>
    <n v="29"/>
    <d v="2026-11-23T00:00:00"/>
    <s v="James Cole"/>
    <s v="Female"/>
    <s v="Printer"/>
    <x v="0"/>
    <n v="9"/>
    <n v="250"/>
    <s v="Accra"/>
    <s v="Emeka"/>
    <s v="29"/>
    <s v="23/11/2026"/>
    <s v="James Cole"/>
    <s v="Female"/>
    <s v="Printer"/>
    <s v="Electronics"/>
    <s v="9"/>
    <s v="250"/>
    <s v="Accra"/>
    <s v="Emeka"/>
    <n v="2250"/>
  </r>
  <r>
    <n v="30"/>
    <d v="2026-01-24T00:00:00"/>
    <s v="Sarah Ann"/>
    <s v="Male"/>
    <s v="Printer"/>
    <x v="0"/>
    <n v="9"/>
    <n v="250"/>
    <s v=" kumasi"/>
    <s v="Emeka"/>
    <s v="30"/>
    <s v="24/01/2026"/>
    <s v="Sarah Ann"/>
    <s v="Male"/>
    <s v="Printer"/>
    <s v="Electronics"/>
    <s v="9"/>
    <s v="250"/>
    <s v=" Kumasi"/>
    <s v="Emeka"/>
    <n v="2250"/>
  </r>
  <r>
    <n v="31"/>
    <d v="2026-09-03T00:00:00"/>
    <s v="Kofi Asare"/>
    <s v="Male"/>
    <s v="Mouse"/>
    <x v="0"/>
    <n v="1"/>
    <n v="25"/>
    <s v="Kumasi"/>
    <s v="Diana"/>
    <s v="31"/>
    <s v="03/09/2026"/>
    <s v="Kofi Asare"/>
    <s v="Male"/>
    <s v="Mouse"/>
    <s v="Electronics"/>
    <s v="1"/>
    <s v="25"/>
    <s v="Kumasi"/>
    <s v="Diana"/>
    <n v="25"/>
  </r>
  <r>
    <n v="32"/>
    <d v="2026-04-19T00:00:00"/>
    <s v="David Smith"/>
    <s v="Male"/>
    <s v="Laptop"/>
    <x v="0"/>
    <n v="10"/>
    <n v="1200"/>
    <s v="Lome"/>
    <s v="Emeka"/>
    <s v="32"/>
    <s v="19/04/2026"/>
    <s v="David Smith"/>
    <s v="Male"/>
    <s v="Laptop"/>
    <s v="Electronics"/>
    <s v="10"/>
    <s v="1200"/>
    <s v="Lome"/>
    <s v="Emeka"/>
    <n v="12000"/>
  </r>
  <r>
    <n v="33"/>
    <d v="2026-05-07T00:00:00"/>
    <s v="Sarah Ann"/>
    <s v="Female"/>
    <s v="Notebook"/>
    <x v="1"/>
    <n v="6"/>
    <n v="5"/>
    <s v="Accra "/>
    <s v="Charles"/>
    <s v="33"/>
    <s v="07/05/2026"/>
    <s v="Sarah Ann"/>
    <s v="Female"/>
    <s v="Notebook"/>
    <s v="Stationery"/>
    <s v="6"/>
    <s v="5"/>
    <s v="Accra "/>
    <s v="Charles"/>
    <n v="30"/>
  </r>
  <r>
    <n v="34"/>
    <d v="2026-02-01T00:00:00"/>
    <s v="James Cole"/>
    <s v="Unknown"/>
    <s v="Chair"/>
    <x v="2"/>
    <n v="6"/>
    <n v="95"/>
    <s v="Accra"/>
    <s v="Emeka"/>
    <s v="34"/>
    <s v="01/02/2026"/>
    <s v="James Cole"/>
    <s v="Unknown"/>
    <s v="Chair"/>
    <s v="Furniture"/>
    <s v="6"/>
    <s v="95"/>
    <s v="Accra"/>
    <s v="Emeka"/>
    <n v="570"/>
  </r>
  <r>
    <n v="35"/>
    <d v="2026-05-05T00:00:00"/>
    <s v="Sarah Ann"/>
    <s v="Male"/>
    <s v="Mouse"/>
    <x v="0"/>
    <n v="9"/>
    <n v="25"/>
    <s v="Kumasi"/>
    <s v="Diana"/>
    <s v="35"/>
    <s v="05/05/2026"/>
    <s v="Sarah Ann"/>
    <s v="Male"/>
    <s v="Mouse"/>
    <s v="Electronics"/>
    <s v="9"/>
    <s v="25"/>
    <s v="Kumasi"/>
    <s v="Diana"/>
    <n v="225"/>
  </r>
  <r>
    <n v="36"/>
    <d v="2026-10-26T00:00:00"/>
    <s v="Grace Agyeman"/>
    <s v="Male"/>
    <s v="Notebook"/>
    <x v="1"/>
    <n v="5"/>
    <n v="5"/>
    <s v="Accra "/>
    <s v="Alice"/>
    <s v="36"/>
    <s v="26/10/2026"/>
    <s v="Grace Agyeman"/>
    <s v="Male"/>
    <s v="Notebook"/>
    <s v="Stationery"/>
    <s v="5"/>
    <s v="5"/>
    <s v="Accra "/>
    <s v="Alice"/>
    <n v="25"/>
  </r>
  <r>
    <n v="37"/>
    <d v="2026-02-04T00:00:00"/>
    <s v="Grace Agyeman"/>
    <s v="Female"/>
    <s v="Mouse"/>
    <x v="0"/>
    <n v="5"/>
    <n v="25"/>
    <s v="Accra "/>
    <s v="Charles"/>
    <s v="37"/>
    <s v="04/02/2026"/>
    <s v="Grace Agyeman"/>
    <s v="Female"/>
    <s v="Mouse"/>
    <s v="Electronics"/>
    <s v="5"/>
    <s v="25"/>
    <s v="Accra "/>
    <s v="Charles"/>
    <n v="125"/>
  </r>
  <r>
    <n v="38"/>
    <d v="2026-09-16T00:00:00"/>
    <s v="Peter Doe"/>
    <s v="Male"/>
    <s v="Mouse"/>
    <x v="0"/>
    <n v="5"/>
    <n v="25"/>
    <s v="Lagos"/>
    <s v="Alice"/>
    <s v="38"/>
    <s v="16/09/2026"/>
    <s v="Peter Doe"/>
    <s v="Male"/>
    <s v="Mouse"/>
    <s v="Electronics"/>
    <s v="5"/>
    <s v="25"/>
    <s v="Lagos"/>
    <s v="Alice"/>
    <n v="125"/>
  </r>
  <r>
    <n v="39"/>
    <d v="2026-03-21T00:00:00"/>
    <s v="Peter Doe"/>
    <s v="Female"/>
    <s v="Laptop"/>
    <x v="0"/>
    <n v="6"/>
    <n v="1200"/>
    <s v="Abuja"/>
    <s v="Emeka"/>
    <s v="39"/>
    <s v="21/03/2026"/>
    <s v="Peter Doe"/>
    <s v="Female"/>
    <s v="Laptop"/>
    <s v="Electronics"/>
    <s v="6"/>
    <s v="1200"/>
    <s v="Abuja"/>
    <s v="Emeka"/>
    <n v="7200"/>
  </r>
  <r>
    <n v="40"/>
    <d v="2026-02-23T00:00:00"/>
    <s v="Kofi Asare"/>
    <s v="Unknown"/>
    <s v="Laptop"/>
    <x v="0"/>
    <n v="0"/>
    <n v="1200"/>
    <s v="Lome"/>
    <s v="Bob"/>
    <s v="40"/>
    <s v="23/02/2026"/>
    <s v="Kofi Asare"/>
    <s v="Unknown"/>
    <s v="Laptop"/>
    <s v="Electronics"/>
    <s v="0"/>
    <s v="1200"/>
    <s v="Lome"/>
    <s v="Bob"/>
    <n v="0"/>
  </r>
  <r>
    <n v="41"/>
    <d v="2026-01-10T00:00:00"/>
    <s v="Sarah Ann"/>
    <s v="Male"/>
    <s v="Chair"/>
    <x v="2"/>
    <n v="3"/>
    <n v="95"/>
    <s v="Kumasi"/>
    <s v="Alice"/>
    <s v="41"/>
    <s v="10/01/2026"/>
    <s v="Sarah Ann"/>
    <s v="Male"/>
    <s v="Chair"/>
    <s v="Furniture"/>
    <s v="3"/>
    <s v="95"/>
    <s v="Kumasi"/>
    <s v="Alice"/>
    <n v="285"/>
  </r>
  <r>
    <n v="42"/>
    <d v="2026-07-20T00:00:00"/>
    <s v="Kofi Asare"/>
    <s v="Female"/>
    <s v="Desk"/>
    <x v="2"/>
    <n v="9"/>
    <n v="180"/>
    <s v=" kumasi"/>
    <s v="Bob"/>
    <s v="42"/>
    <s v="20/07/2026"/>
    <s v="Kofi Asare"/>
    <s v="Female"/>
    <s v="Desk"/>
    <s v="Furniture"/>
    <s v="9"/>
    <s v="180"/>
    <s v=" Kumasi"/>
    <s v="Bob"/>
    <n v="1620"/>
  </r>
  <r>
    <n v="43"/>
    <d v="2026-03-24T00:00:00"/>
    <s v="Sarah Ann"/>
    <s v="Female"/>
    <s v="Chair"/>
    <x v="2"/>
    <n v="1"/>
    <n v="95"/>
    <s v=" kumasi"/>
    <s v="Bob"/>
    <s v="43"/>
    <s v="24/03/2026"/>
    <s v="Sarah Ann"/>
    <s v="Female"/>
    <s v="Chair"/>
    <s v="Furniture"/>
    <s v="1"/>
    <s v="95"/>
    <s v=" Kumasi"/>
    <s v="Bob"/>
    <n v="95"/>
  </r>
  <r>
    <n v="44"/>
    <d v="2026-12-04T00:00:00"/>
    <s v="Linda King"/>
    <s v="Male"/>
    <s v="Desk"/>
    <x v="2"/>
    <n v="3"/>
    <n v="180"/>
    <s v=" kumasi"/>
    <s v="Diana"/>
    <s v="44"/>
    <s v="04/12/2026"/>
    <s v="Linda King"/>
    <s v="Male"/>
    <s v="Desk"/>
    <s v="Furniture"/>
    <s v="3"/>
    <s v="180"/>
    <s v=" Kumasi"/>
    <s v="Diana"/>
    <n v="540"/>
  </r>
  <r>
    <n v="45"/>
    <d v="2026-04-08T00:00:00"/>
    <s v="John Mensah"/>
    <s v="Female"/>
    <s v="Desk"/>
    <x v="2"/>
    <n v="5"/>
    <n v="180"/>
    <s v="Accra"/>
    <s v="Charles"/>
    <s v="45"/>
    <s v="08/04/2026"/>
    <s v="John Mensah"/>
    <s v="Female"/>
    <s v="Desk"/>
    <s v="Furniture"/>
    <s v="5"/>
    <s v="180"/>
    <s v="Accra"/>
    <s v="Charles"/>
    <n v="900"/>
  </r>
  <r>
    <n v="46"/>
    <d v="2026-07-22T00:00:00"/>
    <s v="Grace Agyeman"/>
    <s v="Male"/>
    <s v="Desk"/>
    <x v="2"/>
    <n v="9"/>
    <n v="180"/>
    <s v="Lagos"/>
    <s v="Bob"/>
    <s v="46"/>
    <s v="22/07/2026"/>
    <s v="Grace Agyeman"/>
    <s v="Male"/>
    <s v="Desk"/>
    <s v="Furniture"/>
    <s v="9"/>
    <s v="180"/>
    <s v="Lagos"/>
    <s v="Bob"/>
    <n v="1620"/>
  </r>
  <r>
    <n v="47"/>
    <d v="2026-01-04T00:00:00"/>
    <s v="David Smith"/>
    <s v="Female"/>
    <s v="Notebook"/>
    <x v="1"/>
    <n v="5"/>
    <n v="5"/>
    <s v="Abuja"/>
    <s v="Emeka"/>
    <s v="47"/>
    <s v="04/01/2026"/>
    <s v="David Smith"/>
    <s v="Female"/>
    <s v="Notebook"/>
    <s v="Stationery"/>
    <s v="5"/>
    <s v="5"/>
    <s v="Abuja"/>
    <s v="Emeka"/>
    <n v="25"/>
  </r>
  <r>
    <n v="48"/>
    <d v="2026-07-19T00:00:00"/>
    <s v="Ama Owusu"/>
    <s v="Male"/>
    <s v="Notebook"/>
    <x v="1"/>
    <n v="0"/>
    <n v="5"/>
    <s v="Lome"/>
    <s v="Emeka"/>
    <s v="48"/>
    <s v="19/07/2026"/>
    <s v="Ama Owusu"/>
    <s v="Male"/>
    <s v="Notebook"/>
    <s v="Stationery"/>
    <s v="0"/>
    <s v="5"/>
    <s v="Lome"/>
    <s v="Emeka"/>
    <n v="0"/>
  </r>
  <r>
    <n v="49"/>
    <d v="2026-06-14T00:00:00"/>
    <s v=" mary boakye "/>
    <s v="Male"/>
    <s v="Printer"/>
    <x v="0"/>
    <n v="4"/>
    <n v="250"/>
    <s v="Accra"/>
    <s v="Charles"/>
    <s v="49"/>
    <s v="14/06/2026"/>
    <s v=" Mary Boakye "/>
    <s v="Male"/>
    <s v="Printer"/>
    <s v="Electronics"/>
    <s v="4"/>
    <s v="250"/>
    <s v="Accra"/>
    <s v="Charles"/>
    <n v="1000"/>
  </r>
  <r>
    <n v="50"/>
    <d v="2026-11-14T00:00:00"/>
    <s v="Sarah Ann"/>
    <s v="Female"/>
    <s v="Notebook"/>
    <x v="1"/>
    <n v="5"/>
    <n v="5"/>
    <s v="Kumasi"/>
    <s v="Diana"/>
    <s v="50"/>
    <s v="14/11/2026"/>
    <s v="Sarah Ann"/>
    <s v="Female"/>
    <s v="Notebook"/>
    <s v="Stationery"/>
    <s v="5"/>
    <s v="5"/>
    <s v="Kumasi"/>
    <s v="Diana"/>
    <n v="25"/>
  </r>
  <r>
    <n v="51"/>
    <d v="2026-11-24T00:00:00"/>
    <s v="John Mensah"/>
    <s v="Unknown"/>
    <s v="Printer"/>
    <x v="0"/>
    <n v="7"/>
    <n v="250"/>
    <s v=" kumasi"/>
    <s v="Alice"/>
    <s v="51"/>
    <s v="24/11/2026"/>
    <s v="John Mensah"/>
    <s v="Unknown"/>
    <s v="Printer"/>
    <s v="Electronics"/>
    <s v="7"/>
    <s v="250"/>
    <s v=" Kumasi"/>
    <s v="Alice"/>
    <n v="1750"/>
  </r>
  <r>
    <n v="52"/>
    <d v="2026-04-14T00:00:00"/>
    <s v="David Smith"/>
    <s v="Unknown"/>
    <s v="Desk"/>
    <x v="2"/>
    <n v="5"/>
    <n v="180"/>
    <s v="Abuja"/>
    <s v="Bob"/>
    <s v="52"/>
    <s v="14/04/2026"/>
    <s v="David Smith"/>
    <s v="Unknown"/>
    <s v="Desk"/>
    <s v="Furniture"/>
    <s v="5"/>
    <s v="180"/>
    <s v="Abuja"/>
    <s v="Bob"/>
    <n v="900"/>
  </r>
  <r>
    <n v="53"/>
    <d v="2026-12-06T00:00:00"/>
    <s v=" mary boakye "/>
    <s v="Male"/>
    <s v="Notebook"/>
    <x v="1"/>
    <n v="8"/>
    <n v="5"/>
    <s v="Lagos"/>
    <s v="Alice"/>
    <s v="53"/>
    <s v="06/12/2026"/>
    <s v=" Mary Boakye "/>
    <s v="Male"/>
    <s v="Notebook"/>
    <s v="Stationery"/>
    <s v="8"/>
    <s v="5"/>
    <s v="Lagos"/>
    <s v="Alice"/>
    <n v="40"/>
  </r>
  <r>
    <n v="54"/>
    <d v="2026-04-26T00:00:00"/>
    <s v="Ama Owusu"/>
    <s v="Female"/>
    <s v="Mouse"/>
    <x v="0"/>
    <n v="0"/>
    <n v="25"/>
    <s v="Abuja"/>
    <s v="Emeka"/>
    <s v="54"/>
    <s v="26/04/2026"/>
    <s v="Ama Owusu"/>
    <s v="Female"/>
    <s v="Mouse"/>
    <s v="Electronics"/>
    <s v="0"/>
    <s v="25"/>
    <s v="Abuja"/>
    <s v="Emeka"/>
    <n v="0"/>
  </r>
  <r>
    <n v="55"/>
    <d v="2026-07-21T00:00:00"/>
    <s v="David Smith"/>
    <s v="Female"/>
    <s v="Laptop"/>
    <x v="0"/>
    <n v="8"/>
    <n v="1200"/>
    <s v="Abuja"/>
    <s v="Bob"/>
    <s v="55"/>
    <s v="21/07/2026"/>
    <s v="David Smith"/>
    <s v="Female"/>
    <s v="Laptop"/>
    <s v="Electronics"/>
    <s v="8"/>
    <s v="1200"/>
    <s v="Abuja"/>
    <s v="Bob"/>
    <n v="9600"/>
  </r>
  <r>
    <n v="56"/>
    <d v="2026-02-25T00:00:00"/>
    <s v="Linda King"/>
    <s v="Female"/>
    <s v="Mouse"/>
    <x v="0"/>
    <n v="1"/>
    <n v="25"/>
    <s v="Lome"/>
    <s v="Diana"/>
    <s v="56"/>
    <s v="25/02/2026"/>
    <s v="Linda King"/>
    <s v="Female"/>
    <s v="Mouse"/>
    <s v="Electronics"/>
    <s v="1"/>
    <s v="25"/>
    <s v="Lome"/>
    <s v="Diana"/>
    <n v="25"/>
  </r>
  <r>
    <n v="57"/>
    <d v="2026-04-28T00:00:00"/>
    <s v=" mary boakye "/>
    <s v="Female"/>
    <s v="Laptop"/>
    <x v="0"/>
    <n v="9"/>
    <n v="1200"/>
    <s v="Lome"/>
    <s v="Emeka"/>
    <s v="57"/>
    <s v="28/04/2026"/>
    <s v=" Mary Boakye "/>
    <s v="Female"/>
    <s v="Laptop"/>
    <s v="Electronics"/>
    <s v="9"/>
    <s v="1200"/>
    <s v="Lome"/>
    <s v="Emeka"/>
    <n v="10800"/>
  </r>
  <r>
    <n v="58"/>
    <d v="2026-08-20T00:00:00"/>
    <s v="Grace Agyeman"/>
    <s v="Female"/>
    <s v="Notebook"/>
    <x v="1"/>
    <n v="6"/>
    <n v="5"/>
    <s v="Kumasi"/>
    <s v="Diana"/>
    <s v="58"/>
    <s v="20/08/2026"/>
    <s v="Grace Agyeman"/>
    <s v="Female"/>
    <s v="Notebook"/>
    <s v="Stationery"/>
    <s v="6"/>
    <s v="5"/>
    <s v="Kumasi"/>
    <s v="Diana"/>
    <n v="30"/>
  </r>
  <r>
    <n v="59"/>
    <d v="2026-04-27T00:00:00"/>
    <s v="Peter Doe"/>
    <s v="Unknown"/>
    <s v="Chair"/>
    <x v="2"/>
    <n v="5"/>
    <n v="95"/>
    <s v="Abuja"/>
    <s v="Alice"/>
    <s v="59"/>
    <s v="27/04/2026"/>
    <s v="Peter Doe"/>
    <s v="Unknown"/>
    <s v="Chair"/>
    <s v="Furniture"/>
    <s v="5"/>
    <s v="95"/>
    <s v="Abuja"/>
    <s v="Alice"/>
    <n v="475"/>
  </r>
  <r>
    <n v="60"/>
    <d v="2026-04-09T00:00:00"/>
    <s v="Sarah Ann"/>
    <s v="Male"/>
    <s v="Printer"/>
    <x v="0"/>
    <n v="5"/>
    <n v="250"/>
    <s v="Kumasi"/>
    <s v="Bob"/>
    <s v="60"/>
    <s v="09/04/2026"/>
    <s v="Sarah Ann"/>
    <s v="Male"/>
    <s v="Printer"/>
    <s v="Electronics"/>
    <s v="5"/>
    <s v="250"/>
    <s v="Kumasi"/>
    <s v="Bob"/>
    <n v="1250"/>
  </r>
  <r>
    <n v="61"/>
    <d v="2026-12-07T00:00:00"/>
    <s v=" mary boakye "/>
    <s v="Female"/>
    <s v="Chair"/>
    <x v="2"/>
    <n v="3"/>
    <n v="95"/>
    <s v="Abuja"/>
    <s v="Alice"/>
    <s v="61"/>
    <s v="07/12/2026"/>
    <s v=" Mary Boakye "/>
    <s v="Female"/>
    <s v="Chair"/>
    <s v="Furniture"/>
    <s v="3"/>
    <s v="95"/>
    <s v="Abuja"/>
    <s v="Alice"/>
    <n v="285"/>
  </r>
  <r>
    <n v="62"/>
    <d v="2026-07-25T00:00:00"/>
    <s v="David Smith"/>
    <s v="Male"/>
    <s v="Mouse"/>
    <x v="0"/>
    <n v="7"/>
    <n v="25"/>
    <s v="Abuja"/>
    <s v="Diana"/>
    <s v="62"/>
    <s v="25/07/2026"/>
    <s v="David Smith"/>
    <s v="Male"/>
    <s v="Mouse"/>
    <s v="Electronics"/>
    <s v="7"/>
    <s v="25"/>
    <s v="Abuja"/>
    <s v="Diana"/>
    <n v="175"/>
  </r>
  <r>
    <n v="63"/>
    <d v="2026-05-25T00:00:00"/>
    <s v="Linda King"/>
    <s v="Female"/>
    <s v="Laptop"/>
    <x v="0"/>
    <n v="6"/>
    <n v="1200"/>
    <s v=" kumasi"/>
    <s v="Emeka"/>
    <s v="63"/>
    <s v="25/05/2026"/>
    <s v="Linda King"/>
    <s v="Female"/>
    <s v="Laptop"/>
    <s v="Electronics"/>
    <s v="6"/>
    <s v="1200"/>
    <s v=" Kumasi"/>
    <s v="Emeka"/>
    <n v="7200"/>
  </r>
  <r>
    <n v="64"/>
    <d v="2026-04-09T00:00:00"/>
    <s v="Linda King"/>
    <s v="Female"/>
    <s v="Mouse"/>
    <x v="0"/>
    <n v="0"/>
    <n v="25"/>
    <s v="Accra "/>
    <s v="Diana"/>
    <s v="64"/>
    <s v="09/04/2026"/>
    <s v="Linda King"/>
    <s v="Female"/>
    <s v="Mouse"/>
    <s v="Electronics"/>
    <s v="0"/>
    <s v="25"/>
    <s v="Accra "/>
    <s v="Diana"/>
    <n v="0"/>
  </r>
  <r>
    <n v="65"/>
    <d v="2026-08-05T00:00:00"/>
    <s v="David Smith"/>
    <s v="Unknown"/>
    <s v="Printer"/>
    <x v="0"/>
    <n v="0"/>
    <n v="250"/>
    <s v="Lome"/>
    <s v="Alice"/>
    <s v="65"/>
    <s v="05/08/2026"/>
    <s v="David Smith"/>
    <s v="Unknown"/>
    <s v="Printer"/>
    <s v="Electronics"/>
    <s v="0"/>
    <s v="250"/>
    <s v="Lome"/>
    <s v="Alice"/>
    <n v="0"/>
  </r>
  <r>
    <n v="66"/>
    <d v="2026-03-28T00:00:00"/>
    <s v="James Cole"/>
    <s v="Female"/>
    <s v="Laptop"/>
    <x v="0"/>
    <n v="7"/>
    <n v="1200"/>
    <s v="Kumasi"/>
    <s v="Diana"/>
    <s v="66"/>
    <s v="28/03/2026"/>
    <s v="James Cole"/>
    <s v="Female"/>
    <s v="Laptop"/>
    <s v="Electronics"/>
    <s v="7"/>
    <s v="1200"/>
    <s v="Kumasi"/>
    <s v="Diana"/>
    <n v="8400"/>
  </r>
  <r>
    <n v="67"/>
    <d v="2026-07-09T00:00:00"/>
    <s v="Linda King"/>
    <s v="Male"/>
    <s v="Desk"/>
    <x v="2"/>
    <n v="6"/>
    <n v="180"/>
    <s v="Accra "/>
    <s v="Emeka"/>
    <s v="67"/>
    <s v="09/07/2026"/>
    <s v="Linda King"/>
    <s v="Male"/>
    <s v="Desk"/>
    <s v="Furniture"/>
    <s v="6"/>
    <s v="180"/>
    <s v="Accra "/>
    <s v="Emeka"/>
    <n v="1080"/>
  </r>
  <r>
    <n v="68"/>
    <d v="2026-04-21T00:00:00"/>
    <s v=" mary boakye "/>
    <s v="Male"/>
    <s v="Laptop"/>
    <x v="0"/>
    <n v="6"/>
    <n v="1200"/>
    <s v="Kumasi"/>
    <s v="Alice"/>
    <s v="68"/>
    <s v="21/04/2026"/>
    <s v=" Mary Boakye "/>
    <s v="Male"/>
    <s v="Laptop"/>
    <s v="Electronics"/>
    <s v="6"/>
    <s v="1200"/>
    <s v="Kumasi"/>
    <s v="Alice"/>
    <n v="7200"/>
  </r>
  <r>
    <n v="69"/>
    <d v="2026-04-05T00:00:00"/>
    <s v="James Cole"/>
    <s v="Male"/>
    <s v="Notebook"/>
    <x v="1"/>
    <n v="3"/>
    <n v="5"/>
    <s v="Accra "/>
    <s v="Charles"/>
    <s v="69"/>
    <s v="05/04/2026"/>
    <s v="James Cole"/>
    <s v="Male"/>
    <s v="Notebook"/>
    <s v="Stationery"/>
    <s v="3"/>
    <s v="5"/>
    <s v="Accra "/>
    <s v="Charles"/>
    <n v="15"/>
  </r>
  <r>
    <n v="70"/>
    <d v="2026-10-20T00:00:00"/>
    <s v=" mary boakye "/>
    <s v="Female"/>
    <s v="Desk"/>
    <x v="2"/>
    <n v="3"/>
    <n v="180"/>
    <s v="Accra"/>
    <s v="Charles"/>
    <s v="70"/>
    <s v="20/10/2026"/>
    <s v=" Mary Boakye "/>
    <s v="Female"/>
    <s v="Desk"/>
    <s v="Furniture"/>
    <s v="3"/>
    <s v="180"/>
    <s v="Accra"/>
    <s v="Charles"/>
    <n v="540"/>
  </r>
  <r>
    <n v="71"/>
    <d v="2026-07-23T00:00:00"/>
    <s v="Ama Owusu"/>
    <s v="Male"/>
    <s v="Notebook"/>
    <x v="1"/>
    <n v="7"/>
    <n v="5"/>
    <s v="Unknown"/>
    <s v="Alice"/>
    <s v="71"/>
    <s v="23/07/2026"/>
    <s v="Ama Owusu"/>
    <s v="Male"/>
    <s v="Notebook"/>
    <s v="Stationery"/>
    <s v="7"/>
    <s v="5"/>
    <s v="Unknown"/>
    <s v="Alice"/>
    <n v="35"/>
  </r>
  <r>
    <n v="72"/>
    <d v="2026-11-20T00:00:00"/>
    <s v=" mary boakye "/>
    <s v="Unknown"/>
    <s v="Printer"/>
    <x v="0"/>
    <n v="5"/>
    <n v="250"/>
    <s v="Abuja"/>
    <s v="Charles"/>
    <s v="72"/>
    <s v="20/11/2026"/>
    <s v=" Mary Boakye "/>
    <s v="Unknown"/>
    <s v="Printer"/>
    <s v="Electronics"/>
    <s v="5"/>
    <s v="250"/>
    <s v="Abuja"/>
    <s v="Charles"/>
    <n v="1250"/>
  </r>
  <r>
    <n v="73"/>
    <d v="2026-11-11T00:00:00"/>
    <s v="John Mensah"/>
    <s v="Female"/>
    <s v="Laptop"/>
    <x v="0"/>
    <n v="9"/>
    <n v="1200"/>
    <s v="Lagos"/>
    <s v="Diana"/>
    <s v="73"/>
    <s v="11/11/2026"/>
    <s v="John Mensah"/>
    <s v="Female"/>
    <s v="Laptop"/>
    <s v="Electronics"/>
    <s v="9"/>
    <s v="1200"/>
    <s v="Lagos"/>
    <s v="Diana"/>
    <n v="10800"/>
  </r>
  <r>
    <n v="74"/>
    <d v="2026-07-06T00:00:00"/>
    <s v="Grace Agyeman"/>
    <s v="Male"/>
    <s v="Printer"/>
    <x v="0"/>
    <n v="3"/>
    <n v="250"/>
    <s v=" kumasi"/>
    <s v="Diana"/>
    <s v="74"/>
    <s v="06/07/2026"/>
    <s v="Grace Agyeman"/>
    <s v="Male"/>
    <s v="Printer"/>
    <s v="Electronics"/>
    <s v="3"/>
    <s v="250"/>
    <s v=" Kumasi"/>
    <s v="Diana"/>
    <n v="750"/>
  </r>
  <r>
    <n v="75"/>
    <d v="2026-12-19T00:00:00"/>
    <s v="Peter Doe"/>
    <s v="Male"/>
    <s v="Chair"/>
    <x v="2"/>
    <n v="7"/>
    <n v="95"/>
    <s v="Accra"/>
    <s v="Charles"/>
    <s v="75"/>
    <s v="19/12/2026"/>
    <s v="Peter Doe"/>
    <s v="Male"/>
    <s v="Chair"/>
    <s v="Furniture"/>
    <s v="7"/>
    <s v="95"/>
    <s v="Accra"/>
    <s v="Charles"/>
    <n v="665"/>
  </r>
  <r>
    <n v="76"/>
    <d v="2026-08-19T00:00:00"/>
    <s v="David Smith"/>
    <s v="Female"/>
    <s v="Chair"/>
    <x v="2"/>
    <n v="4"/>
    <n v="95"/>
    <s v="Lagos"/>
    <s v="Bob"/>
    <s v="76"/>
    <s v="19/08/2026"/>
    <s v="David Smith"/>
    <s v="Female"/>
    <s v="Chair"/>
    <s v="Furniture"/>
    <s v="4"/>
    <s v="95"/>
    <s v="Lagos"/>
    <s v="Bob"/>
    <n v="380"/>
  </r>
  <r>
    <n v="77"/>
    <d v="2026-06-26T00:00:00"/>
    <s v="Peter Doe"/>
    <s v="Male"/>
    <s v="Chair"/>
    <x v="2"/>
    <n v="4"/>
    <n v="95"/>
    <s v="Lagos"/>
    <s v="Emeka"/>
    <s v="77"/>
    <s v="26/06/2026"/>
    <s v="Peter Doe"/>
    <s v="Male"/>
    <s v="Chair"/>
    <s v="Furniture"/>
    <s v="4"/>
    <s v="95"/>
    <s v="Lagos"/>
    <s v="Emeka"/>
    <n v="380"/>
  </r>
  <r>
    <n v="78"/>
    <d v="2026-04-03T00:00:00"/>
    <s v="Ama Owusu"/>
    <s v="Female"/>
    <s v="Laptop"/>
    <x v="0"/>
    <n v="9"/>
    <n v="1200"/>
    <s v="Accra "/>
    <s v="Diana"/>
    <s v="78"/>
    <s v="03/04/2026"/>
    <s v="Ama Owusu"/>
    <s v="Female"/>
    <s v="Laptop"/>
    <s v="Electronics"/>
    <s v="9"/>
    <s v="1200"/>
    <s v="Accra "/>
    <s v="Diana"/>
    <n v="10800"/>
  </r>
  <r>
    <n v="79"/>
    <d v="2026-08-26T00:00:00"/>
    <s v="John Mensah"/>
    <s v="Male"/>
    <s v="Printer"/>
    <x v="0"/>
    <n v="8"/>
    <n v="250"/>
    <s v="Kumasi"/>
    <s v="Charles"/>
    <s v="79"/>
    <s v="26/08/2026"/>
    <s v="John Mensah"/>
    <s v="Male"/>
    <s v="Printer"/>
    <s v="Electronics"/>
    <s v="8"/>
    <s v="250"/>
    <s v="Kumasi"/>
    <s v="Charles"/>
    <n v="2000"/>
  </r>
  <r>
    <n v="80"/>
    <d v="2026-06-16T00:00:00"/>
    <s v="Grace Agyeman"/>
    <s v="Unknown"/>
    <s v="Printer"/>
    <x v="0"/>
    <n v="10"/>
    <n v="250"/>
    <s v="Lome"/>
    <s v="Charles"/>
    <s v="80"/>
    <s v="16/06/2026"/>
    <s v="Grace Agyeman"/>
    <s v="Unknown"/>
    <s v="Printer"/>
    <s v="Electronics"/>
    <s v="10"/>
    <s v="250"/>
    <s v="Lome"/>
    <s v="Charles"/>
    <n v="2500"/>
  </r>
  <r>
    <n v="81"/>
    <s v="15/03/2026"/>
    <s v="Peter Doe"/>
    <s v="Female"/>
    <s v="Desk"/>
    <x v="2"/>
    <n v="8"/>
    <n v="180"/>
    <s v="Accra"/>
    <s v="Emeka"/>
    <s v="81"/>
    <s v="15/03/2026"/>
    <s v="Peter Doe"/>
    <s v="Female"/>
    <s v="Desk"/>
    <s v="Furniture"/>
    <s v="8"/>
    <s v="180"/>
    <s v="Accra"/>
    <s v="Emeka"/>
    <n v="1440"/>
  </r>
  <r>
    <n v="82"/>
    <d v="2026-04-07T00:00:00"/>
    <s v="James Cole"/>
    <s v="Male"/>
    <s v="Printer"/>
    <x v="0"/>
    <n v="3"/>
    <n v="250"/>
    <s v="Lome"/>
    <s v="Emeka"/>
    <s v="82"/>
    <s v="07/04/2026"/>
    <s v="James Cole"/>
    <s v="Male"/>
    <s v="Printer"/>
    <s v="Electronics"/>
    <s v="3"/>
    <s v="250"/>
    <s v="Lome"/>
    <s v="Emeka"/>
    <n v="750"/>
  </r>
  <r>
    <n v="83"/>
    <d v="2026-04-10T00:00:00"/>
    <s v="Ama Owusu"/>
    <s v="Male"/>
    <s v="Desk"/>
    <x v="2"/>
    <n v="2"/>
    <n v="0"/>
    <s v="Lome"/>
    <s v="Bob"/>
    <s v="83"/>
    <s v="10/04/2026"/>
    <s v="Ama Owusu"/>
    <s v="Male"/>
    <s v="Desk"/>
    <s v="Furniture"/>
    <s v="2"/>
    <n v="0"/>
    <s v="Lome"/>
    <s v="Bob"/>
    <n v="0"/>
  </r>
  <r>
    <n v="84"/>
    <d v="2026-01-18T00:00:00"/>
    <s v="Peter Doe"/>
    <s v="Female"/>
    <s v="Desk"/>
    <x v="2"/>
    <n v="1"/>
    <n v="180"/>
    <s v="Accra"/>
    <s v="Alice"/>
    <s v="84"/>
    <s v="18/01/2026"/>
    <s v="Peter Doe"/>
    <s v="Female"/>
    <s v="Desk"/>
    <s v="Furniture"/>
    <s v="1"/>
    <s v="180"/>
    <s v="Accra"/>
    <s v="Alice"/>
    <n v="180"/>
  </r>
  <r>
    <n v="85"/>
    <d v="2026-08-16T00:00:00"/>
    <s v="James Cole"/>
    <s v="Male"/>
    <s v="Notebook"/>
    <x v="1"/>
    <n v="5"/>
    <n v="5"/>
    <s v=" kumasi"/>
    <s v="Diana"/>
    <s v="85"/>
    <s v="16/08/2026"/>
    <s v="James Cole"/>
    <s v="Male"/>
    <s v="Notebook"/>
    <s v="Stationery"/>
    <s v="5"/>
    <s v="5"/>
    <s v=" Kumasi"/>
    <s v="Diana"/>
    <n v="25"/>
  </r>
  <r>
    <n v="86"/>
    <d v="2026-07-16T00:00:00"/>
    <s v=" mary boakye "/>
    <s v="Unknown"/>
    <s v="Laptop"/>
    <x v="0"/>
    <n v="2"/>
    <n v="1200"/>
    <s v="Kumasi"/>
    <s v="Emeka"/>
    <s v="86"/>
    <s v="16/07/2026"/>
    <s v=" Mary Boakye "/>
    <s v="Unknown"/>
    <s v="Laptop"/>
    <s v="Electronics"/>
    <s v="2"/>
    <s v="1200"/>
    <s v="Kumasi"/>
    <s v="Emeka"/>
    <n v="2400"/>
  </r>
  <r>
    <n v="87"/>
    <d v="2026-04-04T00:00:00"/>
    <s v="Grace Agyeman"/>
    <s v="Female"/>
    <s v="Desk"/>
    <x v="2"/>
    <n v="2"/>
    <n v="180"/>
    <s v="Kumasi"/>
    <s v="Emeka"/>
    <s v="87"/>
    <s v="04/04/2026"/>
    <s v="Grace Agyeman"/>
    <s v="Female"/>
    <s v="Desk"/>
    <s v="Furniture"/>
    <s v="2"/>
    <s v="180"/>
    <s v="Kumasi"/>
    <s v="Emeka"/>
    <n v="360"/>
  </r>
  <r>
    <n v="88"/>
    <d v="2026-08-10T00:00:00"/>
    <s v="David Smith"/>
    <s v="Female"/>
    <s v="Chair"/>
    <x v="2"/>
    <n v="8"/>
    <n v="95"/>
    <s v="Lome"/>
    <s v="Alice"/>
    <s v="88"/>
    <s v="10/08/2026"/>
    <s v="David Smith"/>
    <s v="Female"/>
    <s v="Chair"/>
    <s v="Furniture"/>
    <s v="8"/>
    <s v="95"/>
    <s v="Lome"/>
    <s v="Alice"/>
    <n v="760"/>
  </r>
  <r>
    <n v="89"/>
    <d v="2026-05-22T00:00:00"/>
    <s v=" mary boakye "/>
    <s v="Female"/>
    <s v="Mouse"/>
    <x v="0"/>
    <n v="4"/>
    <n v="25"/>
    <s v="Kumasi"/>
    <s v="Alice"/>
    <s v="89"/>
    <s v="22/05/2026"/>
    <s v=" Mary Boakye "/>
    <s v="Female"/>
    <s v="Mouse"/>
    <s v="Electronics"/>
    <s v="4"/>
    <s v="25"/>
    <s v="Kumasi"/>
    <s v="Alice"/>
    <n v="100"/>
  </r>
  <r>
    <n v="90"/>
    <d v="2026-12-20T00:00:00"/>
    <s v="James Cole"/>
    <s v="Male"/>
    <s v="Chair"/>
    <x v="2"/>
    <n v="0"/>
    <n v="95"/>
    <s v="Lagos"/>
    <s v="Diana"/>
    <s v="90"/>
    <s v="20/12/2026"/>
    <s v="James Cole"/>
    <s v="Male"/>
    <s v="Chair"/>
    <s v="Furniture"/>
    <s v="0"/>
    <s v="95"/>
    <s v="Lagos"/>
    <s v="Diana"/>
    <n v="0"/>
  </r>
  <r>
    <n v="91"/>
    <d v="2026-05-26T00:00:00"/>
    <s v="David Smith"/>
    <s v="Female"/>
    <s v="Laptop"/>
    <x v="0"/>
    <n v="4"/>
    <n v="1200"/>
    <s v="Accra "/>
    <s v="Bob"/>
    <s v="91"/>
    <s v="26/05/2026"/>
    <s v="David Smith"/>
    <s v="Female"/>
    <s v="Laptop"/>
    <s v="Electronics"/>
    <s v="4"/>
    <s v="1200"/>
    <s v="Accra "/>
    <s v="Bob"/>
    <n v="4800"/>
  </r>
  <r>
    <n v="92"/>
    <d v="2026-02-02T00:00:00"/>
    <s v="Kofi Asare"/>
    <s v="Male"/>
    <s v="Desk"/>
    <x v="2"/>
    <n v="3"/>
    <n v="180"/>
    <s v="Lagos"/>
    <s v="Diana"/>
    <s v="92"/>
    <s v="02/02/2026"/>
    <s v="Kofi Asare"/>
    <s v="Male"/>
    <s v="Desk"/>
    <s v="Furniture"/>
    <s v="3"/>
    <s v="180"/>
    <s v="Lagos"/>
    <s v="Diana"/>
    <n v="540"/>
  </r>
  <r>
    <n v="93"/>
    <d v="2026-12-10T00:00:00"/>
    <s v="Linda King"/>
    <s v="Male"/>
    <s v="Laptop"/>
    <x v="0"/>
    <n v="8"/>
    <n v="1200"/>
    <s v="Accra"/>
    <s v="Emeka"/>
    <s v="93"/>
    <s v="10/12/2026"/>
    <s v="Linda King"/>
    <s v="Male"/>
    <s v="Laptop"/>
    <s v="Electronics"/>
    <s v="8"/>
    <s v="1200"/>
    <s v="Accra"/>
    <s v="Emeka"/>
    <n v="9600"/>
  </r>
  <r>
    <n v="94"/>
    <d v="2026-12-11T00:00:00"/>
    <s v="David Smith"/>
    <s v="Male"/>
    <s v="Laptop"/>
    <x v="0"/>
    <n v="0"/>
    <n v="1200"/>
    <s v="Accra "/>
    <s v="Emeka"/>
    <s v="94"/>
    <s v="11/12/2026"/>
    <s v="David Smith"/>
    <s v="Male"/>
    <s v="Laptop"/>
    <s v="Electronics"/>
    <s v="0"/>
    <s v="1200"/>
    <s v="Accra "/>
    <s v="Emeka"/>
    <n v="0"/>
  </r>
  <r>
    <n v="95"/>
    <d v="2026-11-27T00:00:00"/>
    <s v="Peter Doe"/>
    <s v="Unknown"/>
    <s v="Notebook"/>
    <x v="1"/>
    <n v="0"/>
    <n v="5"/>
    <s v="Abuja"/>
    <s v="Emeka"/>
    <s v="95"/>
    <s v="27/11/2026"/>
    <s v="Peter Doe"/>
    <s v="Unknown"/>
    <s v="Notebook"/>
    <s v="Stationery"/>
    <s v="0"/>
    <s v="5"/>
    <s v="Abuja"/>
    <s v="Emeka"/>
    <n v="0"/>
  </r>
  <r>
    <n v="96"/>
    <d v="2026-05-06T00:00:00"/>
    <s v="David Smith"/>
    <s v="Female"/>
    <s v="Printer"/>
    <x v="0"/>
    <n v="8"/>
    <n v="250"/>
    <s v="Accra"/>
    <s v="Diana"/>
    <s v="96"/>
    <s v="06/05/2026"/>
    <s v="David Smith"/>
    <s v="Female"/>
    <s v="Printer"/>
    <s v="Electronics"/>
    <s v="8"/>
    <s v="250"/>
    <s v="Accra"/>
    <s v="Diana"/>
    <n v="2000"/>
  </r>
  <r>
    <n v="97"/>
    <d v="2026-06-11T00:00:00"/>
    <s v=" mary boakye "/>
    <s v="Female"/>
    <s v="Desk"/>
    <x v="2"/>
    <n v="7"/>
    <n v="180"/>
    <s v="Lagos"/>
    <s v="Diana"/>
    <s v="97"/>
    <s v="11/06/2026"/>
    <s v=" Mary Boakye "/>
    <s v="Female"/>
    <s v="Desk"/>
    <s v="Furniture"/>
    <s v="7"/>
    <s v="180"/>
    <s v="Lagos"/>
    <s v="Diana"/>
    <n v="1260"/>
  </r>
  <r>
    <n v="98"/>
    <d v="2026-08-03T00:00:00"/>
    <s v="Sarah Ann"/>
    <s v="Male"/>
    <s v="Notebook"/>
    <x v="1"/>
    <n v="1"/>
    <n v="5"/>
    <s v="Abuja"/>
    <s v="Emeka"/>
    <s v="98"/>
    <s v="03/08/2026"/>
    <s v="Sarah Ann"/>
    <s v="Male"/>
    <s v="Notebook"/>
    <s v="Stationery"/>
    <s v="1"/>
    <s v="5"/>
    <s v="Abuja"/>
    <s v="Emeka"/>
    <n v="5"/>
  </r>
  <r>
    <n v="99"/>
    <d v="2026-08-14T00:00:00"/>
    <s v="John Mensah"/>
    <s v="Female"/>
    <s v="Laptop"/>
    <x v="0"/>
    <n v="9"/>
    <n v="1200"/>
    <s v="Abuja"/>
    <s v="Diana"/>
    <s v="99"/>
    <s v="14/08/2026"/>
    <s v="John Mensah"/>
    <s v="Female"/>
    <s v="Laptop"/>
    <s v="Electronics"/>
    <s v="9"/>
    <s v="1200"/>
    <s v="Abuja"/>
    <s v="Diana"/>
    <n v="10800"/>
  </r>
  <r>
    <n v="100"/>
    <d v="2026-05-18T00:00:00"/>
    <s v="Kofi Asare"/>
    <s v="Male"/>
    <s v="Laptop"/>
    <x v="0"/>
    <n v="4"/>
    <n v="1200"/>
    <s v="Accra"/>
    <s v="Alice"/>
    <s v="100"/>
    <s v="18/05/2026"/>
    <s v="Kofi Asare"/>
    <s v="Male"/>
    <s v="Laptop"/>
    <s v="Electronics"/>
    <s v="4"/>
    <s v="1200"/>
    <s v="Accra"/>
    <s v="Alice"/>
    <n v="4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">
  <r>
    <n v="1"/>
    <d v="2026-01-24T00:00:00"/>
    <s v="Peter Doe"/>
    <x v="0"/>
    <s v="Printer"/>
    <s v="Electronics"/>
    <n v="2"/>
    <n v="250"/>
    <x v="0"/>
    <s v="Emeka"/>
    <s v="1"/>
    <s v="24/01/2026"/>
    <s v="Peter Doe"/>
    <x v="0"/>
    <s v="Printer"/>
    <s v="Electronics"/>
    <s v="2"/>
    <s v="250"/>
    <x v="0"/>
    <s v="Emeka"/>
    <n v="500"/>
    <s v="High"/>
  </r>
  <r>
    <n v="2"/>
    <d v="2026-07-02T00:00:00"/>
    <s v="John Mensah"/>
    <x v="1"/>
    <s v="Laptop"/>
    <s v="Electronics"/>
    <n v="10"/>
    <n v="1200"/>
    <x v="1"/>
    <s v="Emeka"/>
    <s v="2"/>
    <s v="02/07/2026"/>
    <s v="John Mensah"/>
    <x v="1"/>
    <s v="Laptop"/>
    <s v="Electronics"/>
    <s v="10"/>
    <s v="1200"/>
    <x v="1"/>
    <s v="Emeka"/>
    <n v="12000"/>
    <s v="High"/>
  </r>
  <r>
    <n v="3"/>
    <d v="2026-07-08T00:00:00"/>
    <s v="James Cole"/>
    <x v="2"/>
    <s v="Mouse"/>
    <s v="Electronics"/>
    <n v="9"/>
    <n v="25"/>
    <x v="2"/>
    <s v="Bob"/>
    <s v="3"/>
    <s v="08/07/2026"/>
    <s v="James Cole"/>
    <x v="2"/>
    <s v="Mouse"/>
    <s v="Electronics"/>
    <s v="9"/>
    <s v="25"/>
    <x v="2"/>
    <s v="Bob"/>
    <n v="225"/>
    <s v="Low"/>
  </r>
  <r>
    <n v="4"/>
    <d v="2026-06-09T00:00:00"/>
    <s v="Kofi Asare"/>
    <x v="0"/>
    <s v="Printer"/>
    <s v="Electronics"/>
    <n v="7"/>
    <n v="250"/>
    <x v="1"/>
    <s v="Diana"/>
    <s v="4"/>
    <s v="09/06/2026"/>
    <s v="Kofi Asare"/>
    <x v="0"/>
    <s v="Printer"/>
    <s v="Electronics"/>
    <s v="7"/>
    <s v="250"/>
    <x v="1"/>
    <s v="Diana"/>
    <n v="1750"/>
    <s v="High"/>
  </r>
  <r>
    <n v="5"/>
    <d v="2026-06-20T00:00:00"/>
    <s v="Peter Doe"/>
    <x v="1"/>
    <s v="Laptop"/>
    <s v="Electronics"/>
    <n v="6"/>
    <n v="1200"/>
    <x v="3"/>
    <s v="Alice"/>
    <s v="5"/>
    <s v="20/06/2026"/>
    <s v="Peter Doe"/>
    <x v="1"/>
    <s v="Laptop"/>
    <s v="Electronics"/>
    <s v="6"/>
    <s v="1200"/>
    <x v="3"/>
    <s v="Alice"/>
    <n v="7200"/>
    <s v="High"/>
  </r>
  <r>
    <n v="6"/>
    <d v="2026-11-20T00:00:00"/>
    <s v="Sarah Ann"/>
    <x v="2"/>
    <s v="Notebook"/>
    <s v="Stationery"/>
    <n v="5"/>
    <n v="5"/>
    <x v="0"/>
    <s v="Bob"/>
    <s v="6"/>
    <s v="20/11/2026"/>
    <s v="Sarah Ann"/>
    <x v="2"/>
    <s v="Notebook"/>
    <s v="Stationery"/>
    <s v="5"/>
    <s v="5"/>
    <x v="0"/>
    <s v="Bob"/>
    <n v="25"/>
    <s v="Low"/>
  </r>
  <r>
    <n v="7"/>
    <d v="2026-04-28T00:00:00"/>
    <s v=" mary boakye "/>
    <x v="0"/>
    <s v="Desk"/>
    <s v="Furniture"/>
    <n v="2"/>
    <n v="180"/>
    <x v="4"/>
    <s v="Bob"/>
    <s v="7"/>
    <s v="28/04/2026"/>
    <s v=" Mary Boakye "/>
    <x v="0"/>
    <s v="Desk"/>
    <s v="Furniture"/>
    <s v="2"/>
    <s v="180"/>
    <x v="4"/>
    <s v="Bob"/>
    <n v="360"/>
    <s v="Low"/>
  </r>
  <r>
    <n v="8"/>
    <d v="2026-04-22T00:00:00"/>
    <s v="Peter Doe"/>
    <x v="1"/>
    <s v="Desk"/>
    <s v="Furniture"/>
    <n v="6"/>
    <n v="180"/>
    <x v="0"/>
    <s v="Bob"/>
    <s v="8"/>
    <s v="22/04/2026"/>
    <s v="Peter Doe"/>
    <x v="1"/>
    <s v="Desk"/>
    <s v="Furniture"/>
    <s v="6"/>
    <s v="180"/>
    <x v="0"/>
    <s v="Bob"/>
    <n v="1080"/>
    <s v="High"/>
  </r>
  <r>
    <n v="9"/>
    <d v="2026-07-09T00:00:00"/>
    <s v="Grace Agyeman"/>
    <x v="0"/>
    <s v="Mouse"/>
    <s v="Electronics"/>
    <n v="8"/>
    <n v="25"/>
    <x v="2"/>
    <s v="Alice"/>
    <s v="9"/>
    <s v="09/07/2026"/>
    <s v="Grace Agyeman"/>
    <x v="0"/>
    <s v="Mouse"/>
    <s v="Electronics"/>
    <s v="8"/>
    <s v="25"/>
    <x v="2"/>
    <s v="Alice"/>
    <n v="200"/>
    <s v="Low"/>
  </r>
  <r>
    <n v="10"/>
    <d v="2026-06-13T00:00:00"/>
    <s v="Peter Doe"/>
    <x v="1"/>
    <s v="Mouse"/>
    <s v="Electronics"/>
    <n v="1"/>
    <n v="25"/>
    <x v="0"/>
    <s v="Charles"/>
    <s v="10"/>
    <s v="13/06/2026"/>
    <s v="Peter Doe"/>
    <x v="1"/>
    <s v="Mouse"/>
    <s v="Electronics"/>
    <s v="1"/>
    <s v="25"/>
    <x v="0"/>
    <s v="Charles"/>
    <n v="25"/>
    <s v="Low"/>
  </r>
  <r>
    <n v="12"/>
    <d v="2026-07-19T00:00:00"/>
    <s v="Linda King"/>
    <x v="1"/>
    <s v="Desk"/>
    <s v="Furniture"/>
    <n v="10"/>
    <n v="180"/>
    <x v="5"/>
    <s v="Diana"/>
    <s v="12"/>
    <s v="19/07/2026"/>
    <s v="Linda King"/>
    <x v="1"/>
    <s v="Desk"/>
    <s v="Furniture"/>
    <s v="10"/>
    <s v="180"/>
    <x v="5"/>
    <s v="Diana"/>
    <n v="1800"/>
    <s v="High"/>
  </r>
  <r>
    <n v="13"/>
    <d v="2026-02-05T00:00:00"/>
    <s v="Kofi Asare"/>
    <x v="0"/>
    <s v="Laptop"/>
    <s v="Electronics"/>
    <n v="1"/>
    <n v="1200"/>
    <x v="5"/>
    <s v="Diana"/>
    <s v="13"/>
    <s v="05/02/2026"/>
    <s v="Kofi Asare"/>
    <x v="0"/>
    <s v="Laptop"/>
    <s v="Electronics"/>
    <s v="1"/>
    <s v="1200"/>
    <x v="5"/>
    <s v="Diana"/>
    <n v="1200"/>
    <s v="High"/>
  </r>
  <r>
    <n v="14"/>
    <d v="2026-09-28T00:00:00"/>
    <s v="John Mensah"/>
    <x v="1"/>
    <s v="Notebook"/>
    <s v="Stationery"/>
    <n v="5"/>
    <n v="5"/>
    <x v="4"/>
    <s v="Charles"/>
    <s v="14"/>
    <s v="28/09/2026"/>
    <s v="John Mensah"/>
    <x v="1"/>
    <s v="Notebook"/>
    <s v="Stationery"/>
    <s v="5"/>
    <s v="5"/>
    <x v="4"/>
    <s v="Charles"/>
    <n v="25"/>
    <s v="Low"/>
  </r>
  <r>
    <n v="15"/>
    <d v="2026-07-06T00:00:00"/>
    <s v="James Cole"/>
    <x v="1"/>
    <s v="Laptop"/>
    <s v="Electronics"/>
    <n v="5"/>
    <n v="1200"/>
    <x v="4"/>
    <s v="Emeka"/>
    <s v="15"/>
    <s v="06/07/2026"/>
    <s v="James Cole"/>
    <x v="1"/>
    <s v="Laptop"/>
    <s v="Electronics"/>
    <s v="5"/>
    <s v="1200"/>
    <x v="4"/>
    <s v="Emeka"/>
    <n v="6000"/>
    <s v="High"/>
  </r>
  <r>
    <n v="16"/>
    <d v="2026-02-28T00:00:00"/>
    <s v="Peter Doe"/>
    <x v="2"/>
    <s v="Mouse"/>
    <s v="Electronics"/>
    <n v="9"/>
    <n v="25"/>
    <x v="2"/>
    <s v="Bob"/>
    <s v="16"/>
    <s v="28/02/2026"/>
    <s v="Peter Doe"/>
    <x v="2"/>
    <s v="Mouse"/>
    <s v="Electronics"/>
    <s v="9"/>
    <s v="25"/>
    <x v="2"/>
    <s v="Bob"/>
    <n v="225"/>
    <s v="Low"/>
  </r>
  <r>
    <n v="17"/>
    <d v="2026-01-20T00:00:00"/>
    <s v="Sarah Ann"/>
    <x v="0"/>
    <s v="Notebook"/>
    <s v="Stationery"/>
    <n v="0"/>
    <n v="5"/>
    <x v="2"/>
    <s v="Charles"/>
    <s v="17"/>
    <s v="20/01/2026"/>
    <s v="Sarah Ann"/>
    <x v="0"/>
    <s v="Notebook"/>
    <s v="Stationery"/>
    <s v="0"/>
    <s v="5"/>
    <x v="2"/>
    <s v="Charles"/>
    <n v="0"/>
    <s v="Low"/>
  </r>
  <r>
    <n v="18"/>
    <d v="2026-04-19T00:00:00"/>
    <s v=" mary boakye "/>
    <x v="1"/>
    <s v="Mouse"/>
    <s v="Electronics"/>
    <n v="1"/>
    <n v="25"/>
    <x v="2"/>
    <s v="Emeka"/>
    <s v="18"/>
    <s v="19/04/2026"/>
    <s v=" Mary Boakye "/>
    <x v="1"/>
    <s v="Mouse"/>
    <s v="Electronics"/>
    <s v="1"/>
    <s v="25"/>
    <x v="2"/>
    <s v="Emeka"/>
    <n v="25"/>
    <s v="Low"/>
  </r>
  <r>
    <n v="19"/>
    <d v="2026-11-16T00:00:00"/>
    <s v="Grace Agyeman"/>
    <x v="0"/>
    <s v="Mouse"/>
    <s v="Electronics"/>
    <n v="3"/>
    <n v="25"/>
    <x v="3"/>
    <s v="Bob"/>
    <s v="19"/>
    <s v="16/11/2026"/>
    <s v="Grace Agyeman"/>
    <x v="0"/>
    <s v="Mouse"/>
    <s v="Electronics"/>
    <s v="3"/>
    <s v="25"/>
    <x v="3"/>
    <s v="Bob"/>
    <n v="75"/>
    <s v="Low"/>
  </r>
  <r>
    <n v="20"/>
    <d v="2026-12-10T00:00:00"/>
    <s v="Linda King"/>
    <x v="1"/>
    <s v="Notebook"/>
    <s v="Stationery"/>
    <n v="4"/>
    <n v="5"/>
    <x v="1"/>
    <s v="Bob"/>
    <s v="20"/>
    <s v="10/12/2026"/>
    <s v="Linda King"/>
    <x v="1"/>
    <s v="Notebook"/>
    <s v="Stationery"/>
    <s v="4"/>
    <s v="5"/>
    <x v="1"/>
    <s v="Bob"/>
    <n v="20"/>
    <s v="Low"/>
  </r>
  <r>
    <n v="21"/>
    <d v="2026-06-01T00:00:00"/>
    <s v="David Smith"/>
    <x v="2"/>
    <s v="Mouse"/>
    <s v="Electronics"/>
    <n v="2"/>
    <n v="25"/>
    <x v="1"/>
    <s v="Alice"/>
    <s v="21"/>
    <s v="01/06/2026"/>
    <s v="David Smith"/>
    <x v="2"/>
    <s v="Mouse"/>
    <s v="Electronics"/>
    <s v="2"/>
    <s v="25"/>
    <x v="1"/>
    <s v="Alice"/>
    <n v="50"/>
    <s v="Low"/>
  </r>
  <r>
    <n v="22"/>
    <d v="2026-01-28T00:00:00"/>
    <s v="Sarah Ann"/>
    <x v="1"/>
    <s v="Mouse"/>
    <s v="Electronics"/>
    <n v="2"/>
    <n v="25"/>
    <x v="3"/>
    <s v="Bob"/>
    <s v="22"/>
    <s v="28/01/2026"/>
    <s v="Sarah Ann"/>
    <x v="1"/>
    <s v="Mouse"/>
    <s v="Electronics"/>
    <s v="2"/>
    <s v="25"/>
    <x v="3"/>
    <s v="Bob"/>
    <n v="50"/>
    <s v="Low"/>
  </r>
  <r>
    <n v="23"/>
    <d v="2026-12-19T00:00:00"/>
    <s v="David Smith"/>
    <x v="0"/>
    <s v="Notebook"/>
    <s v="Stationery"/>
    <n v="3"/>
    <n v="5"/>
    <x v="3"/>
    <s v="Bob"/>
    <s v="23"/>
    <s v="19/12/2026"/>
    <s v="David Smith"/>
    <x v="0"/>
    <s v="Notebook"/>
    <s v="Stationery"/>
    <s v="3"/>
    <s v="5"/>
    <x v="3"/>
    <s v="Bob"/>
    <n v="15"/>
    <s v="Low"/>
  </r>
  <r>
    <n v="24"/>
    <d v="2026-11-14T00:00:00"/>
    <s v="Sarah Ann"/>
    <x v="0"/>
    <s v="Laptop"/>
    <s v="Electronics"/>
    <n v="2"/>
    <n v="1200"/>
    <x v="1"/>
    <s v="Alice"/>
    <s v="24"/>
    <s v="14/11/2026"/>
    <s v="Sarah Ann"/>
    <x v="0"/>
    <s v="Laptop"/>
    <s v="Electronics"/>
    <s v="2"/>
    <s v="1200"/>
    <x v="1"/>
    <s v="Alice"/>
    <n v="2400"/>
    <s v="High"/>
  </r>
  <r>
    <n v="25"/>
    <d v="2026-12-11T00:00:00"/>
    <s v=" mary boakye "/>
    <x v="0"/>
    <s v="Laptop"/>
    <s v="Electronics"/>
    <n v="7"/>
    <n v="1200"/>
    <x v="6"/>
    <s v="Diana"/>
    <s v="25"/>
    <s v="11/12/2026"/>
    <s v=" Mary Boakye "/>
    <x v="0"/>
    <s v="Laptop"/>
    <s v="Electronics"/>
    <s v="7"/>
    <s v="1200"/>
    <x v="6"/>
    <s v="Diana"/>
    <n v="8400"/>
    <s v="High"/>
  </r>
  <r>
    <n v="26"/>
    <d v="2026-08-08T00:00:00"/>
    <s v=" mary boakye "/>
    <x v="0"/>
    <s v="Mouse"/>
    <s v="Electronics"/>
    <n v="5"/>
    <n v="25"/>
    <x v="1"/>
    <s v="Alice"/>
    <s v="26"/>
    <s v="08/08/2026"/>
    <s v=" Mary Boakye "/>
    <x v="0"/>
    <s v="Mouse"/>
    <s v="Electronics"/>
    <s v="5"/>
    <s v="25"/>
    <x v="1"/>
    <s v="Alice"/>
    <n v="125"/>
    <s v="Low"/>
  </r>
  <r>
    <n v="27"/>
    <d v="2026-01-03T00:00:00"/>
    <s v="Ama Owusu"/>
    <x v="0"/>
    <s v="Printer"/>
    <s v="Electronics"/>
    <n v="9"/>
    <n v="250"/>
    <x v="2"/>
    <s v="Diana"/>
    <s v="27"/>
    <s v="03/01/2026"/>
    <s v="Ama Owusu"/>
    <x v="0"/>
    <s v="Printer"/>
    <s v="Electronics"/>
    <s v="9"/>
    <s v="250"/>
    <x v="2"/>
    <s v="Diana"/>
    <n v="2250"/>
    <s v="High"/>
  </r>
  <r>
    <n v="28"/>
    <d v="2026-07-01T00:00:00"/>
    <s v="Linda King"/>
    <x v="1"/>
    <s v="Laptop"/>
    <s v="Electronics"/>
    <n v="3"/>
    <n v="1200"/>
    <x v="4"/>
    <s v="Diana"/>
    <s v="28"/>
    <s v="01/07/2026"/>
    <s v="Linda King"/>
    <x v="1"/>
    <s v="Laptop"/>
    <s v="Electronics"/>
    <s v="3"/>
    <s v="1200"/>
    <x v="4"/>
    <s v="Diana"/>
    <n v="3600"/>
    <s v="High"/>
  </r>
  <r>
    <n v="29"/>
    <d v="2026-11-23T00:00:00"/>
    <s v="James Cole"/>
    <x v="0"/>
    <s v="Printer"/>
    <s v="Electronics"/>
    <n v="9"/>
    <n v="250"/>
    <x v="1"/>
    <s v="Emeka"/>
    <s v="29"/>
    <s v="23/11/2026"/>
    <s v="James Cole"/>
    <x v="0"/>
    <s v="Printer"/>
    <s v="Electronics"/>
    <s v="9"/>
    <s v="250"/>
    <x v="1"/>
    <s v="Emeka"/>
    <n v="2250"/>
    <s v="High"/>
  </r>
  <r>
    <n v="30"/>
    <d v="2026-01-24T00:00:00"/>
    <s v="Sarah Ann"/>
    <x v="1"/>
    <s v="Printer"/>
    <s v="Electronics"/>
    <n v="9"/>
    <n v="250"/>
    <x v="2"/>
    <s v="Emeka"/>
    <s v="30"/>
    <s v="24/01/2026"/>
    <s v="Sarah Ann"/>
    <x v="1"/>
    <s v="Printer"/>
    <s v="Electronics"/>
    <s v="9"/>
    <s v="250"/>
    <x v="2"/>
    <s v="Emeka"/>
    <n v="2250"/>
    <s v="High"/>
  </r>
  <r>
    <n v="31"/>
    <d v="2026-09-03T00:00:00"/>
    <s v="Kofi Asare"/>
    <x v="1"/>
    <s v="Mouse"/>
    <s v="Electronics"/>
    <n v="1"/>
    <n v="25"/>
    <x v="6"/>
    <s v="Diana"/>
    <s v="31"/>
    <s v="03/09/2026"/>
    <s v="Kofi Asare"/>
    <x v="1"/>
    <s v="Mouse"/>
    <s v="Electronics"/>
    <s v="1"/>
    <s v="25"/>
    <x v="6"/>
    <s v="Diana"/>
    <n v="25"/>
    <s v="Low"/>
  </r>
  <r>
    <n v="32"/>
    <d v="2026-04-19T00:00:00"/>
    <s v="David Smith"/>
    <x v="1"/>
    <s v="Laptop"/>
    <s v="Electronics"/>
    <n v="10"/>
    <n v="1200"/>
    <x v="5"/>
    <s v="Emeka"/>
    <s v="32"/>
    <s v="19/04/2026"/>
    <s v="David Smith"/>
    <x v="1"/>
    <s v="Laptop"/>
    <s v="Electronics"/>
    <s v="10"/>
    <s v="1200"/>
    <x v="5"/>
    <s v="Emeka"/>
    <n v="12000"/>
    <s v="High"/>
  </r>
  <r>
    <n v="33"/>
    <d v="2026-05-07T00:00:00"/>
    <s v="Sarah Ann"/>
    <x v="0"/>
    <s v="Notebook"/>
    <s v="Stationery"/>
    <n v="6"/>
    <n v="5"/>
    <x v="0"/>
    <s v="Charles"/>
    <s v="33"/>
    <s v="07/05/2026"/>
    <s v="Sarah Ann"/>
    <x v="0"/>
    <s v="Notebook"/>
    <s v="Stationery"/>
    <s v="6"/>
    <s v="5"/>
    <x v="0"/>
    <s v="Charles"/>
    <n v="30"/>
    <s v="Low"/>
  </r>
  <r>
    <n v="34"/>
    <d v="2026-02-01T00:00:00"/>
    <s v="James Cole"/>
    <x v="2"/>
    <s v="Chair"/>
    <s v="Furniture"/>
    <n v="6"/>
    <n v="95"/>
    <x v="1"/>
    <s v="Emeka"/>
    <s v="34"/>
    <s v="01/02/2026"/>
    <s v="James Cole"/>
    <x v="2"/>
    <s v="Chair"/>
    <s v="Furniture"/>
    <s v="6"/>
    <s v="95"/>
    <x v="1"/>
    <s v="Emeka"/>
    <n v="570"/>
    <s v="High"/>
  </r>
  <r>
    <n v="35"/>
    <d v="2026-05-05T00:00:00"/>
    <s v="Sarah Ann"/>
    <x v="1"/>
    <s v="Mouse"/>
    <s v="Electronics"/>
    <n v="9"/>
    <n v="25"/>
    <x v="6"/>
    <s v="Diana"/>
    <s v="35"/>
    <s v="05/05/2026"/>
    <s v="Sarah Ann"/>
    <x v="1"/>
    <s v="Mouse"/>
    <s v="Electronics"/>
    <s v="9"/>
    <s v="25"/>
    <x v="6"/>
    <s v="Diana"/>
    <n v="225"/>
    <s v="Low"/>
  </r>
  <r>
    <n v="36"/>
    <d v="2026-10-26T00:00:00"/>
    <s v="Grace Agyeman"/>
    <x v="1"/>
    <s v="Notebook"/>
    <s v="Stationery"/>
    <n v="5"/>
    <n v="5"/>
    <x v="0"/>
    <s v="Alice"/>
    <s v="36"/>
    <s v="26/10/2026"/>
    <s v="Grace Agyeman"/>
    <x v="1"/>
    <s v="Notebook"/>
    <s v="Stationery"/>
    <s v="5"/>
    <s v="5"/>
    <x v="0"/>
    <s v="Alice"/>
    <n v="25"/>
    <s v="Low"/>
  </r>
  <r>
    <n v="37"/>
    <d v="2026-02-04T00:00:00"/>
    <s v="Grace Agyeman"/>
    <x v="0"/>
    <s v="Mouse"/>
    <s v="Electronics"/>
    <n v="5"/>
    <n v="25"/>
    <x v="0"/>
    <s v="Charles"/>
    <s v="37"/>
    <s v="04/02/2026"/>
    <s v="Grace Agyeman"/>
    <x v="0"/>
    <s v="Mouse"/>
    <s v="Electronics"/>
    <s v="5"/>
    <s v="25"/>
    <x v="0"/>
    <s v="Charles"/>
    <n v="125"/>
    <s v="Low"/>
  </r>
  <r>
    <n v="38"/>
    <d v="2026-09-16T00:00:00"/>
    <s v="Peter Doe"/>
    <x v="1"/>
    <s v="Mouse"/>
    <s v="Electronics"/>
    <n v="5"/>
    <n v="25"/>
    <x v="4"/>
    <s v="Alice"/>
    <s v="38"/>
    <s v="16/09/2026"/>
    <s v="Peter Doe"/>
    <x v="1"/>
    <s v="Mouse"/>
    <s v="Electronics"/>
    <s v="5"/>
    <s v="25"/>
    <x v="4"/>
    <s v="Alice"/>
    <n v="125"/>
    <s v="Low"/>
  </r>
  <r>
    <n v="39"/>
    <d v="2026-03-21T00:00:00"/>
    <s v="Peter Doe"/>
    <x v="0"/>
    <s v="Laptop"/>
    <s v="Electronics"/>
    <n v="6"/>
    <n v="1200"/>
    <x v="3"/>
    <s v="Emeka"/>
    <s v="39"/>
    <s v="21/03/2026"/>
    <s v="Peter Doe"/>
    <x v="0"/>
    <s v="Laptop"/>
    <s v="Electronics"/>
    <s v="6"/>
    <s v="1200"/>
    <x v="3"/>
    <s v="Emeka"/>
    <n v="7200"/>
    <s v="High"/>
  </r>
  <r>
    <n v="40"/>
    <d v="2026-02-23T00:00:00"/>
    <s v="Kofi Asare"/>
    <x v="2"/>
    <s v="Laptop"/>
    <s v="Electronics"/>
    <n v="0"/>
    <n v="1200"/>
    <x v="5"/>
    <s v="Bob"/>
    <s v="40"/>
    <s v="23/02/2026"/>
    <s v="Kofi Asare"/>
    <x v="2"/>
    <s v="Laptop"/>
    <s v="Electronics"/>
    <s v="0"/>
    <s v="1200"/>
    <x v="5"/>
    <s v="Bob"/>
    <n v="0"/>
    <s v="Low"/>
  </r>
  <r>
    <n v="41"/>
    <d v="2026-01-10T00:00:00"/>
    <s v="Sarah Ann"/>
    <x v="1"/>
    <s v="Chair"/>
    <s v="Furniture"/>
    <n v="3"/>
    <n v="95"/>
    <x v="6"/>
    <s v="Alice"/>
    <s v="41"/>
    <s v="10/01/2026"/>
    <s v="Sarah Ann"/>
    <x v="1"/>
    <s v="Chair"/>
    <s v="Furniture"/>
    <s v="3"/>
    <s v="95"/>
    <x v="6"/>
    <s v="Alice"/>
    <n v="285"/>
    <s v="Low"/>
  </r>
  <r>
    <n v="42"/>
    <d v="2026-07-20T00:00:00"/>
    <s v="Kofi Asare"/>
    <x v="0"/>
    <s v="Desk"/>
    <s v="Furniture"/>
    <n v="9"/>
    <n v="180"/>
    <x v="2"/>
    <s v="Bob"/>
    <s v="42"/>
    <s v="20/07/2026"/>
    <s v="Kofi Asare"/>
    <x v="0"/>
    <s v="Desk"/>
    <s v="Furniture"/>
    <s v="9"/>
    <s v="180"/>
    <x v="2"/>
    <s v="Bob"/>
    <n v="1620"/>
    <s v="High"/>
  </r>
  <r>
    <n v="43"/>
    <d v="2026-03-24T00:00:00"/>
    <s v="Sarah Ann"/>
    <x v="0"/>
    <s v="Chair"/>
    <s v="Furniture"/>
    <n v="1"/>
    <n v="95"/>
    <x v="2"/>
    <s v="Bob"/>
    <s v="43"/>
    <s v="24/03/2026"/>
    <s v="Sarah Ann"/>
    <x v="0"/>
    <s v="Chair"/>
    <s v="Furniture"/>
    <s v="1"/>
    <s v="95"/>
    <x v="2"/>
    <s v="Bob"/>
    <n v="95"/>
    <s v="Low"/>
  </r>
  <r>
    <n v="44"/>
    <d v="2026-12-04T00:00:00"/>
    <s v="Linda King"/>
    <x v="1"/>
    <s v="Desk"/>
    <s v="Furniture"/>
    <n v="3"/>
    <n v="180"/>
    <x v="2"/>
    <s v="Diana"/>
    <s v="44"/>
    <s v="04/12/2026"/>
    <s v="Linda King"/>
    <x v="1"/>
    <s v="Desk"/>
    <s v="Furniture"/>
    <s v="3"/>
    <s v="180"/>
    <x v="2"/>
    <s v="Diana"/>
    <n v="540"/>
    <s v="High"/>
  </r>
  <r>
    <n v="45"/>
    <d v="2026-04-08T00:00:00"/>
    <s v="John Mensah"/>
    <x v="0"/>
    <s v="Desk"/>
    <s v="Furniture"/>
    <n v="5"/>
    <n v="180"/>
    <x v="1"/>
    <s v="Charles"/>
    <s v="45"/>
    <s v="08/04/2026"/>
    <s v="John Mensah"/>
    <x v="0"/>
    <s v="Desk"/>
    <s v="Furniture"/>
    <s v="5"/>
    <s v="180"/>
    <x v="1"/>
    <s v="Charles"/>
    <n v="900"/>
    <s v="High"/>
  </r>
  <r>
    <n v="46"/>
    <d v="2026-07-22T00:00:00"/>
    <s v="Grace Agyeman"/>
    <x v="1"/>
    <s v="Desk"/>
    <s v="Furniture"/>
    <n v="9"/>
    <n v="180"/>
    <x v="4"/>
    <s v="Bob"/>
    <s v="46"/>
    <s v="22/07/2026"/>
    <s v="Grace Agyeman"/>
    <x v="1"/>
    <s v="Desk"/>
    <s v="Furniture"/>
    <s v="9"/>
    <s v="180"/>
    <x v="4"/>
    <s v="Bob"/>
    <n v="1620"/>
    <s v="High"/>
  </r>
  <r>
    <n v="47"/>
    <d v="2026-01-04T00:00:00"/>
    <s v="David Smith"/>
    <x v="0"/>
    <s v="Notebook"/>
    <s v="Stationery"/>
    <n v="5"/>
    <n v="5"/>
    <x v="3"/>
    <s v="Emeka"/>
    <s v="47"/>
    <s v="04/01/2026"/>
    <s v="David Smith"/>
    <x v="0"/>
    <s v="Notebook"/>
    <s v="Stationery"/>
    <s v="5"/>
    <s v="5"/>
    <x v="3"/>
    <s v="Emeka"/>
    <n v="25"/>
    <s v="Low"/>
  </r>
  <r>
    <n v="48"/>
    <d v="2026-07-19T00:00:00"/>
    <s v="Ama Owusu"/>
    <x v="1"/>
    <s v="Notebook"/>
    <s v="Stationery"/>
    <n v="0"/>
    <n v="5"/>
    <x v="5"/>
    <s v="Emeka"/>
    <s v="48"/>
    <s v="19/07/2026"/>
    <s v="Ama Owusu"/>
    <x v="1"/>
    <s v="Notebook"/>
    <s v="Stationery"/>
    <s v="0"/>
    <s v="5"/>
    <x v="5"/>
    <s v="Emeka"/>
    <n v="0"/>
    <s v="Low"/>
  </r>
  <r>
    <n v="49"/>
    <d v="2026-06-14T00:00:00"/>
    <s v=" mary boakye "/>
    <x v="1"/>
    <s v="Printer"/>
    <s v="Electronics"/>
    <n v="4"/>
    <n v="250"/>
    <x v="1"/>
    <s v="Charles"/>
    <s v="49"/>
    <s v="14/06/2026"/>
    <s v=" Mary Boakye "/>
    <x v="1"/>
    <s v="Printer"/>
    <s v="Electronics"/>
    <s v="4"/>
    <s v="250"/>
    <x v="1"/>
    <s v="Charles"/>
    <n v="1000"/>
    <s v="High"/>
  </r>
  <r>
    <n v="50"/>
    <d v="2026-11-14T00:00:00"/>
    <s v="Sarah Ann"/>
    <x v="0"/>
    <s v="Notebook"/>
    <s v="Stationery"/>
    <n v="5"/>
    <n v="5"/>
    <x v="6"/>
    <s v="Diana"/>
    <s v="50"/>
    <s v="14/11/2026"/>
    <s v="Sarah Ann"/>
    <x v="0"/>
    <s v="Notebook"/>
    <s v="Stationery"/>
    <s v="5"/>
    <s v="5"/>
    <x v="6"/>
    <s v="Diana"/>
    <n v="25"/>
    <s v="Low"/>
  </r>
  <r>
    <n v="51"/>
    <d v="2026-11-24T00:00:00"/>
    <s v="John Mensah"/>
    <x v="2"/>
    <s v="Printer"/>
    <s v="Electronics"/>
    <n v="7"/>
    <n v="250"/>
    <x v="2"/>
    <s v="Alice"/>
    <s v="51"/>
    <s v="24/11/2026"/>
    <s v="John Mensah"/>
    <x v="2"/>
    <s v="Printer"/>
    <s v="Electronics"/>
    <s v="7"/>
    <s v="250"/>
    <x v="2"/>
    <s v="Alice"/>
    <n v="1750"/>
    <s v="High"/>
  </r>
  <r>
    <n v="52"/>
    <d v="2026-04-14T00:00:00"/>
    <s v="David Smith"/>
    <x v="2"/>
    <s v="Desk"/>
    <s v="Furniture"/>
    <n v="5"/>
    <n v="180"/>
    <x v="3"/>
    <s v="Bob"/>
    <s v="52"/>
    <s v="14/04/2026"/>
    <s v="David Smith"/>
    <x v="2"/>
    <s v="Desk"/>
    <s v="Furniture"/>
    <s v="5"/>
    <s v="180"/>
    <x v="3"/>
    <s v="Bob"/>
    <n v="900"/>
    <s v="High"/>
  </r>
  <r>
    <n v="53"/>
    <d v="2026-12-06T00:00:00"/>
    <s v=" mary boakye "/>
    <x v="1"/>
    <s v="Notebook"/>
    <s v="Stationery"/>
    <n v="8"/>
    <n v="5"/>
    <x v="4"/>
    <s v="Alice"/>
    <s v="53"/>
    <s v="06/12/2026"/>
    <s v=" Mary Boakye "/>
    <x v="1"/>
    <s v="Notebook"/>
    <s v="Stationery"/>
    <s v="8"/>
    <s v="5"/>
    <x v="4"/>
    <s v="Alice"/>
    <n v="40"/>
    <s v="Low"/>
  </r>
  <r>
    <n v="54"/>
    <d v="2026-04-26T00:00:00"/>
    <s v="Ama Owusu"/>
    <x v="0"/>
    <s v="Mouse"/>
    <s v="Electronics"/>
    <n v="0"/>
    <n v="25"/>
    <x v="3"/>
    <s v="Emeka"/>
    <s v="54"/>
    <s v="26/04/2026"/>
    <s v="Ama Owusu"/>
    <x v="0"/>
    <s v="Mouse"/>
    <s v="Electronics"/>
    <s v="0"/>
    <s v="25"/>
    <x v="3"/>
    <s v="Emeka"/>
    <n v="0"/>
    <s v="Low"/>
  </r>
  <r>
    <n v="55"/>
    <d v="2026-07-21T00:00:00"/>
    <s v="David Smith"/>
    <x v="0"/>
    <s v="Laptop"/>
    <s v="Electronics"/>
    <n v="8"/>
    <n v="1200"/>
    <x v="3"/>
    <s v="Bob"/>
    <s v="55"/>
    <s v="21/07/2026"/>
    <s v="David Smith"/>
    <x v="0"/>
    <s v="Laptop"/>
    <s v="Electronics"/>
    <s v="8"/>
    <s v="1200"/>
    <x v="3"/>
    <s v="Bob"/>
    <n v="9600"/>
    <s v="High"/>
  </r>
  <r>
    <n v="56"/>
    <d v="2026-02-25T00:00:00"/>
    <s v="Linda King"/>
    <x v="0"/>
    <s v="Mouse"/>
    <s v="Electronics"/>
    <n v="1"/>
    <n v="25"/>
    <x v="5"/>
    <s v="Diana"/>
    <s v="56"/>
    <s v="25/02/2026"/>
    <s v="Linda King"/>
    <x v="0"/>
    <s v="Mouse"/>
    <s v="Electronics"/>
    <s v="1"/>
    <s v="25"/>
    <x v="5"/>
    <s v="Diana"/>
    <n v="25"/>
    <s v="Low"/>
  </r>
  <r>
    <n v="57"/>
    <d v="2026-04-28T00:00:00"/>
    <s v=" mary boakye "/>
    <x v="0"/>
    <s v="Laptop"/>
    <s v="Electronics"/>
    <n v="9"/>
    <n v="1200"/>
    <x v="5"/>
    <s v="Emeka"/>
    <s v="57"/>
    <s v="28/04/2026"/>
    <s v=" Mary Boakye "/>
    <x v="0"/>
    <s v="Laptop"/>
    <s v="Electronics"/>
    <s v="9"/>
    <s v="1200"/>
    <x v="5"/>
    <s v="Emeka"/>
    <n v="10800"/>
    <s v="High"/>
  </r>
  <r>
    <n v="58"/>
    <d v="2026-08-20T00:00:00"/>
    <s v="Grace Agyeman"/>
    <x v="0"/>
    <s v="Notebook"/>
    <s v="Stationery"/>
    <n v="6"/>
    <n v="5"/>
    <x v="6"/>
    <s v="Diana"/>
    <s v="58"/>
    <s v="20/08/2026"/>
    <s v="Grace Agyeman"/>
    <x v="0"/>
    <s v="Notebook"/>
    <s v="Stationery"/>
    <s v="6"/>
    <s v="5"/>
    <x v="6"/>
    <s v="Diana"/>
    <n v="30"/>
    <s v="Low"/>
  </r>
  <r>
    <n v="59"/>
    <d v="2026-04-27T00:00:00"/>
    <s v="Peter Doe"/>
    <x v="2"/>
    <s v="Chair"/>
    <s v="Furniture"/>
    <n v="5"/>
    <n v="95"/>
    <x v="3"/>
    <s v="Alice"/>
    <s v="59"/>
    <s v="27/04/2026"/>
    <s v="Peter Doe"/>
    <x v="2"/>
    <s v="Chair"/>
    <s v="Furniture"/>
    <s v="5"/>
    <s v="95"/>
    <x v="3"/>
    <s v="Alice"/>
    <n v="475"/>
    <s v="Low"/>
  </r>
  <r>
    <n v="60"/>
    <d v="2026-04-09T00:00:00"/>
    <s v="Sarah Ann"/>
    <x v="1"/>
    <s v="Printer"/>
    <s v="Electronics"/>
    <n v="5"/>
    <n v="250"/>
    <x v="6"/>
    <s v="Bob"/>
    <s v="60"/>
    <s v="09/04/2026"/>
    <s v="Sarah Ann"/>
    <x v="1"/>
    <s v="Printer"/>
    <s v="Electronics"/>
    <s v="5"/>
    <s v="250"/>
    <x v="6"/>
    <s v="Bob"/>
    <n v="1250"/>
    <s v="High"/>
  </r>
  <r>
    <n v="61"/>
    <d v="2026-12-07T00:00:00"/>
    <s v=" mary boakye "/>
    <x v="0"/>
    <s v="Chair"/>
    <s v="Furniture"/>
    <n v="3"/>
    <n v="95"/>
    <x v="3"/>
    <s v="Alice"/>
    <s v="61"/>
    <s v="07/12/2026"/>
    <s v=" Mary Boakye "/>
    <x v="0"/>
    <s v="Chair"/>
    <s v="Furniture"/>
    <s v="3"/>
    <s v="95"/>
    <x v="3"/>
    <s v="Alice"/>
    <n v="285"/>
    <s v="Low"/>
  </r>
  <r>
    <n v="62"/>
    <d v="2026-07-25T00:00:00"/>
    <s v="David Smith"/>
    <x v="1"/>
    <s v="Mouse"/>
    <s v="Electronics"/>
    <n v="7"/>
    <n v="25"/>
    <x v="3"/>
    <s v="Diana"/>
    <s v="62"/>
    <s v="25/07/2026"/>
    <s v="David Smith"/>
    <x v="1"/>
    <s v="Mouse"/>
    <s v="Electronics"/>
    <s v="7"/>
    <s v="25"/>
    <x v="3"/>
    <s v="Diana"/>
    <n v="175"/>
    <s v="Low"/>
  </r>
  <r>
    <n v="63"/>
    <d v="2026-05-25T00:00:00"/>
    <s v="Linda King"/>
    <x v="0"/>
    <s v="Laptop"/>
    <s v="Electronics"/>
    <n v="6"/>
    <n v="1200"/>
    <x v="2"/>
    <s v="Emeka"/>
    <s v="63"/>
    <s v="25/05/2026"/>
    <s v="Linda King"/>
    <x v="0"/>
    <s v="Laptop"/>
    <s v="Electronics"/>
    <s v="6"/>
    <s v="1200"/>
    <x v="2"/>
    <s v="Emeka"/>
    <n v="7200"/>
    <s v="High"/>
  </r>
  <r>
    <n v="64"/>
    <d v="2026-04-09T00:00:00"/>
    <s v="Linda King"/>
    <x v="0"/>
    <s v="Mouse"/>
    <s v="Electronics"/>
    <n v="0"/>
    <n v="25"/>
    <x v="0"/>
    <s v="Diana"/>
    <s v="64"/>
    <s v="09/04/2026"/>
    <s v="Linda King"/>
    <x v="0"/>
    <s v="Mouse"/>
    <s v="Electronics"/>
    <s v="0"/>
    <s v="25"/>
    <x v="0"/>
    <s v="Diana"/>
    <n v="0"/>
    <s v="Low"/>
  </r>
  <r>
    <n v="65"/>
    <d v="2026-08-05T00:00:00"/>
    <s v="David Smith"/>
    <x v="2"/>
    <s v="Printer"/>
    <s v="Electronics"/>
    <n v="0"/>
    <n v="250"/>
    <x v="5"/>
    <s v="Alice"/>
    <s v="65"/>
    <s v="05/08/2026"/>
    <s v="David Smith"/>
    <x v="2"/>
    <s v="Printer"/>
    <s v="Electronics"/>
    <s v="0"/>
    <s v="250"/>
    <x v="5"/>
    <s v="Alice"/>
    <n v="0"/>
    <s v="Low"/>
  </r>
  <r>
    <n v="66"/>
    <d v="2026-03-28T00:00:00"/>
    <s v="James Cole"/>
    <x v="0"/>
    <s v="Laptop"/>
    <s v="Electronics"/>
    <n v="7"/>
    <n v="1200"/>
    <x v="6"/>
    <s v="Diana"/>
    <s v="66"/>
    <s v="28/03/2026"/>
    <s v="James Cole"/>
    <x v="0"/>
    <s v="Laptop"/>
    <s v="Electronics"/>
    <s v="7"/>
    <s v="1200"/>
    <x v="6"/>
    <s v="Diana"/>
    <n v="8400"/>
    <s v="High"/>
  </r>
  <r>
    <n v="67"/>
    <d v="2026-07-09T00:00:00"/>
    <s v="Linda King"/>
    <x v="1"/>
    <s v="Desk"/>
    <s v="Furniture"/>
    <n v="6"/>
    <n v="180"/>
    <x v="0"/>
    <s v="Emeka"/>
    <s v="67"/>
    <s v="09/07/2026"/>
    <s v="Linda King"/>
    <x v="1"/>
    <s v="Desk"/>
    <s v="Furniture"/>
    <s v="6"/>
    <s v="180"/>
    <x v="0"/>
    <s v="Emeka"/>
    <n v="1080"/>
    <s v="High"/>
  </r>
  <r>
    <n v="68"/>
    <d v="2026-04-21T00:00:00"/>
    <s v=" mary boakye "/>
    <x v="1"/>
    <s v="Laptop"/>
    <s v="Electronics"/>
    <n v="6"/>
    <n v="1200"/>
    <x v="6"/>
    <s v="Alice"/>
    <s v="68"/>
    <s v="21/04/2026"/>
    <s v=" Mary Boakye "/>
    <x v="1"/>
    <s v="Laptop"/>
    <s v="Electronics"/>
    <s v="6"/>
    <s v="1200"/>
    <x v="6"/>
    <s v="Alice"/>
    <n v="7200"/>
    <s v="High"/>
  </r>
  <r>
    <n v="69"/>
    <d v="2026-04-05T00:00:00"/>
    <s v="James Cole"/>
    <x v="1"/>
    <s v="Notebook"/>
    <s v="Stationery"/>
    <n v="3"/>
    <n v="5"/>
    <x v="0"/>
    <s v="Charles"/>
    <s v="69"/>
    <s v="05/04/2026"/>
    <s v="James Cole"/>
    <x v="1"/>
    <s v="Notebook"/>
    <s v="Stationery"/>
    <s v="3"/>
    <s v="5"/>
    <x v="0"/>
    <s v="Charles"/>
    <n v="15"/>
    <s v="Low"/>
  </r>
  <r>
    <n v="70"/>
    <d v="2026-10-20T00:00:00"/>
    <s v=" mary boakye "/>
    <x v="0"/>
    <s v="Desk"/>
    <s v="Furniture"/>
    <n v="3"/>
    <n v="180"/>
    <x v="1"/>
    <s v="Charles"/>
    <s v="70"/>
    <s v="20/10/2026"/>
    <s v=" Mary Boakye "/>
    <x v="0"/>
    <s v="Desk"/>
    <s v="Furniture"/>
    <s v="3"/>
    <s v="180"/>
    <x v="1"/>
    <s v="Charles"/>
    <n v="540"/>
    <s v="High"/>
  </r>
  <r>
    <n v="71"/>
    <d v="2026-07-23T00:00:00"/>
    <s v="Ama Owusu"/>
    <x v="1"/>
    <s v="Notebook"/>
    <s v="Stationery"/>
    <n v="7"/>
    <n v="5"/>
    <x v="7"/>
    <s v="Alice"/>
    <s v="71"/>
    <s v="23/07/2026"/>
    <s v="Ama Owusu"/>
    <x v="1"/>
    <s v="Notebook"/>
    <s v="Stationery"/>
    <s v="7"/>
    <s v="5"/>
    <x v="7"/>
    <s v="Alice"/>
    <n v="35"/>
    <s v="Low"/>
  </r>
  <r>
    <n v="72"/>
    <d v="2026-11-20T00:00:00"/>
    <s v=" mary boakye "/>
    <x v="2"/>
    <s v="Printer"/>
    <s v="Electronics"/>
    <n v="5"/>
    <n v="250"/>
    <x v="3"/>
    <s v="Charles"/>
    <s v="72"/>
    <s v="20/11/2026"/>
    <s v=" Mary Boakye "/>
    <x v="2"/>
    <s v="Printer"/>
    <s v="Electronics"/>
    <s v="5"/>
    <s v="250"/>
    <x v="3"/>
    <s v="Charles"/>
    <n v="1250"/>
    <s v="High"/>
  </r>
  <r>
    <n v="73"/>
    <d v="2026-11-11T00:00:00"/>
    <s v="John Mensah"/>
    <x v="0"/>
    <s v="Laptop"/>
    <s v="Electronics"/>
    <n v="9"/>
    <n v="1200"/>
    <x v="4"/>
    <s v="Diana"/>
    <s v="73"/>
    <s v="11/11/2026"/>
    <s v="John Mensah"/>
    <x v="0"/>
    <s v="Laptop"/>
    <s v="Electronics"/>
    <s v="9"/>
    <s v="1200"/>
    <x v="4"/>
    <s v="Diana"/>
    <n v="10800"/>
    <s v="High"/>
  </r>
  <r>
    <n v="74"/>
    <d v="2026-07-06T00:00:00"/>
    <s v="Grace Agyeman"/>
    <x v="1"/>
    <s v="Printer"/>
    <s v="Electronics"/>
    <n v="3"/>
    <n v="250"/>
    <x v="2"/>
    <s v="Diana"/>
    <s v="74"/>
    <s v="06/07/2026"/>
    <s v="Grace Agyeman"/>
    <x v="1"/>
    <s v="Printer"/>
    <s v="Electronics"/>
    <s v="3"/>
    <s v="250"/>
    <x v="2"/>
    <s v="Diana"/>
    <n v="750"/>
    <s v="High"/>
  </r>
  <r>
    <n v="75"/>
    <d v="2026-12-19T00:00:00"/>
    <s v="Peter Doe"/>
    <x v="1"/>
    <s v="Chair"/>
    <s v="Furniture"/>
    <n v="7"/>
    <n v="95"/>
    <x v="1"/>
    <s v="Charles"/>
    <s v="75"/>
    <s v="19/12/2026"/>
    <s v="Peter Doe"/>
    <x v="1"/>
    <s v="Chair"/>
    <s v="Furniture"/>
    <s v="7"/>
    <s v="95"/>
    <x v="1"/>
    <s v="Charles"/>
    <n v="665"/>
    <s v="High"/>
  </r>
  <r>
    <n v="76"/>
    <d v="2026-08-19T00:00:00"/>
    <s v="David Smith"/>
    <x v="0"/>
    <s v="Chair"/>
    <s v="Furniture"/>
    <n v="4"/>
    <n v="95"/>
    <x v="4"/>
    <s v="Bob"/>
    <s v="76"/>
    <s v="19/08/2026"/>
    <s v="David Smith"/>
    <x v="0"/>
    <s v="Chair"/>
    <s v="Furniture"/>
    <s v="4"/>
    <s v="95"/>
    <x v="4"/>
    <s v="Bob"/>
    <n v="380"/>
    <s v="Low"/>
  </r>
  <r>
    <n v="77"/>
    <d v="2026-06-26T00:00:00"/>
    <s v="Peter Doe"/>
    <x v="1"/>
    <s v="Chair"/>
    <s v="Furniture"/>
    <n v="4"/>
    <n v="95"/>
    <x v="4"/>
    <s v="Emeka"/>
    <s v="77"/>
    <s v="26/06/2026"/>
    <s v="Peter Doe"/>
    <x v="1"/>
    <s v="Chair"/>
    <s v="Furniture"/>
    <s v="4"/>
    <s v="95"/>
    <x v="4"/>
    <s v="Emeka"/>
    <n v="380"/>
    <s v="Low"/>
  </r>
  <r>
    <n v="78"/>
    <d v="2026-04-03T00:00:00"/>
    <s v="Ama Owusu"/>
    <x v="0"/>
    <s v="Laptop"/>
    <s v="Electronics"/>
    <n v="9"/>
    <n v="1200"/>
    <x v="0"/>
    <s v="Diana"/>
    <s v="78"/>
    <s v="03/04/2026"/>
    <s v="Ama Owusu"/>
    <x v="0"/>
    <s v="Laptop"/>
    <s v="Electronics"/>
    <s v="9"/>
    <s v="1200"/>
    <x v="0"/>
    <s v="Diana"/>
    <n v="10800"/>
    <s v="High"/>
  </r>
  <r>
    <n v="79"/>
    <d v="2026-08-26T00:00:00"/>
    <s v="John Mensah"/>
    <x v="1"/>
    <s v="Printer"/>
    <s v="Electronics"/>
    <n v="8"/>
    <n v="250"/>
    <x v="6"/>
    <s v="Charles"/>
    <s v="79"/>
    <s v="26/08/2026"/>
    <s v="John Mensah"/>
    <x v="1"/>
    <s v="Printer"/>
    <s v="Electronics"/>
    <s v="8"/>
    <s v="250"/>
    <x v="6"/>
    <s v="Charles"/>
    <n v="2000"/>
    <s v="High"/>
  </r>
  <r>
    <n v="80"/>
    <d v="2026-06-16T00:00:00"/>
    <s v="Grace Agyeman"/>
    <x v="2"/>
    <s v="Printer"/>
    <s v="Electronics"/>
    <n v="10"/>
    <n v="250"/>
    <x v="5"/>
    <s v="Charles"/>
    <s v="80"/>
    <s v="16/06/2026"/>
    <s v="Grace Agyeman"/>
    <x v="2"/>
    <s v="Printer"/>
    <s v="Electronics"/>
    <s v="10"/>
    <s v="250"/>
    <x v="5"/>
    <s v="Charles"/>
    <n v="2500"/>
    <s v="High"/>
  </r>
  <r>
    <n v="81"/>
    <s v="15/03/2026"/>
    <s v="Peter Doe"/>
    <x v="0"/>
    <s v="Desk"/>
    <s v="Furniture"/>
    <n v="8"/>
    <n v="180"/>
    <x v="1"/>
    <s v="Emeka"/>
    <s v="81"/>
    <s v="15/03/2026"/>
    <s v="Peter Doe"/>
    <x v="0"/>
    <s v="Desk"/>
    <s v="Furniture"/>
    <s v="8"/>
    <s v="180"/>
    <x v="1"/>
    <s v="Emeka"/>
    <n v="1440"/>
    <s v="High"/>
  </r>
  <r>
    <n v="82"/>
    <d v="2026-04-07T00:00:00"/>
    <s v="James Cole"/>
    <x v="1"/>
    <s v="Printer"/>
    <s v="Electronics"/>
    <n v="3"/>
    <n v="250"/>
    <x v="5"/>
    <s v="Emeka"/>
    <s v="82"/>
    <s v="07/04/2026"/>
    <s v="James Cole"/>
    <x v="1"/>
    <s v="Printer"/>
    <s v="Electronics"/>
    <s v="3"/>
    <s v="250"/>
    <x v="5"/>
    <s v="Emeka"/>
    <n v="750"/>
    <s v="High"/>
  </r>
  <r>
    <n v="83"/>
    <d v="2026-04-10T00:00:00"/>
    <s v="Ama Owusu"/>
    <x v="1"/>
    <s v="Desk"/>
    <s v="Furniture"/>
    <n v="2"/>
    <n v="0"/>
    <x v="5"/>
    <s v="Bob"/>
    <s v="83"/>
    <s v="10/04/2026"/>
    <s v="Ama Owusu"/>
    <x v="1"/>
    <s v="Desk"/>
    <s v="Furniture"/>
    <s v="2"/>
    <n v="0"/>
    <x v="5"/>
    <s v="Bob"/>
    <n v="0"/>
    <s v="Low"/>
  </r>
  <r>
    <n v="84"/>
    <d v="2026-01-18T00:00:00"/>
    <s v="Peter Doe"/>
    <x v="0"/>
    <s v="Desk"/>
    <s v="Furniture"/>
    <n v="1"/>
    <n v="180"/>
    <x v="1"/>
    <s v="Alice"/>
    <s v="84"/>
    <s v="18/01/2026"/>
    <s v="Peter Doe"/>
    <x v="0"/>
    <s v="Desk"/>
    <s v="Furniture"/>
    <s v="1"/>
    <s v="180"/>
    <x v="1"/>
    <s v="Alice"/>
    <n v="180"/>
    <s v="Low"/>
  </r>
  <r>
    <n v="85"/>
    <d v="2026-08-16T00:00:00"/>
    <s v="James Cole"/>
    <x v="1"/>
    <s v="Notebook"/>
    <s v="Stationery"/>
    <n v="5"/>
    <n v="5"/>
    <x v="2"/>
    <s v="Diana"/>
    <s v="85"/>
    <s v="16/08/2026"/>
    <s v="James Cole"/>
    <x v="1"/>
    <s v="Notebook"/>
    <s v="Stationery"/>
    <s v="5"/>
    <s v="5"/>
    <x v="2"/>
    <s v="Diana"/>
    <n v="25"/>
    <s v="Low"/>
  </r>
  <r>
    <n v="86"/>
    <d v="2026-07-16T00:00:00"/>
    <s v=" mary boakye "/>
    <x v="2"/>
    <s v="Laptop"/>
    <s v="Electronics"/>
    <n v="2"/>
    <n v="1200"/>
    <x v="6"/>
    <s v="Emeka"/>
    <s v="86"/>
    <s v="16/07/2026"/>
    <s v=" Mary Boakye "/>
    <x v="2"/>
    <s v="Laptop"/>
    <s v="Electronics"/>
    <s v="2"/>
    <s v="1200"/>
    <x v="6"/>
    <s v="Emeka"/>
    <n v="2400"/>
    <s v="High"/>
  </r>
  <r>
    <n v="87"/>
    <d v="2026-04-04T00:00:00"/>
    <s v="Grace Agyeman"/>
    <x v="0"/>
    <s v="Desk"/>
    <s v="Furniture"/>
    <n v="2"/>
    <n v="180"/>
    <x v="6"/>
    <s v="Emeka"/>
    <s v="87"/>
    <s v="04/04/2026"/>
    <s v="Grace Agyeman"/>
    <x v="0"/>
    <s v="Desk"/>
    <s v="Furniture"/>
    <s v="2"/>
    <s v="180"/>
    <x v="6"/>
    <s v="Emeka"/>
    <n v="360"/>
    <s v="Low"/>
  </r>
  <r>
    <n v="88"/>
    <d v="2026-08-10T00:00:00"/>
    <s v="David Smith"/>
    <x v="0"/>
    <s v="Chair"/>
    <s v="Furniture"/>
    <n v="8"/>
    <n v="95"/>
    <x v="5"/>
    <s v="Alice"/>
    <s v="88"/>
    <s v="10/08/2026"/>
    <s v="David Smith"/>
    <x v="0"/>
    <s v="Chair"/>
    <s v="Furniture"/>
    <s v="8"/>
    <s v="95"/>
    <x v="5"/>
    <s v="Alice"/>
    <n v="760"/>
    <s v="High"/>
  </r>
  <r>
    <n v="89"/>
    <d v="2026-05-22T00:00:00"/>
    <s v=" mary boakye "/>
    <x v="0"/>
    <s v="Mouse"/>
    <s v="Electronics"/>
    <n v="4"/>
    <n v="25"/>
    <x v="6"/>
    <s v="Alice"/>
    <s v="89"/>
    <s v="22/05/2026"/>
    <s v=" Mary Boakye "/>
    <x v="0"/>
    <s v="Mouse"/>
    <s v="Electronics"/>
    <s v="4"/>
    <s v="25"/>
    <x v="6"/>
    <s v="Alice"/>
    <n v="100"/>
    <s v="Low"/>
  </r>
  <r>
    <n v="90"/>
    <d v="2026-12-20T00:00:00"/>
    <s v="James Cole"/>
    <x v="1"/>
    <s v="Chair"/>
    <s v="Furniture"/>
    <n v="0"/>
    <n v="95"/>
    <x v="4"/>
    <s v="Diana"/>
    <s v="90"/>
    <s v="20/12/2026"/>
    <s v="James Cole"/>
    <x v="1"/>
    <s v="Chair"/>
    <s v="Furniture"/>
    <s v="0"/>
    <s v="95"/>
    <x v="4"/>
    <s v="Diana"/>
    <n v="0"/>
    <s v="Low"/>
  </r>
  <r>
    <n v="91"/>
    <d v="2026-05-26T00:00:00"/>
    <s v="David Smith"/>
    <x v="0"/>
    <s v="Laptop"/>
    <s v="Electronics"/>
    <n v="4"/>
    <n v="1200"/>
    <x v="0"/>
    <s v="Bob"/>
    <s v="91"/>
    <s v="26/05/2026"/>
    <s v="David Smith"/>
    <x v="0"/>
    <s v="Laptop"/>
    <s v="Electronics"/>
    <s v="4"/>
    <s v="1200"/>
    <x v="0"/>
    <s v="Bob"/>
    <n v="4800"/>
    <s v="High"/>
  </r>
  <r>
    <n v="92"/>
    <d v="2026-02-02T00:00:00"/>
    <s v="Kofi Asare"/>
    <x v="1"/>
    <s v="Desk"/>
    <s v="Furniture"/>
    <n v="3"/>
    <n v="180"/>
    <x v="4"/>
    <s v="Diana"/>
    <s v="92"/>
    <s v="02/02/2026"/>
    <s v="Kofi Asare"/>
    <x v="1"/>
    <s v="Desk"/>
    <s v="Furniture"/>
    <s v="3"/>
    <s v="180"/>
    <x v="4"/>
    <s v="Diana"/>
    <n v="540"/>
    <s v="High"/>
  </r>
  <r>
    <n v="93"/>
    <d v="2026-12-10T00:00:00"/>
    <s v="Linda King"/>
    <x v="1"/>
    <s v="Laptop"/>
    <s v="Electronics"/>
    <n v="8"/>
    <n v="1200"/>
    <x v="1"/>
    <s v="Emeka"/>
    <s v="93"/>
    <s v="10/12/2026"/>
    <s v="Linda King"/>
    <x v="1"/>
    <s v="Laptop"/>
    <s v="Electronics"/>
    <s v="8"/>
    <s v="1200"/>
    <x v="1"/>
    <s v="Emeka"/>
    <n v="9600"/>
    <s v="High"/>
  </r>
  <r>
    <n v="94"/>
    <d v="2026-12-11T00:00:00"/>
    <s v="David Smith"/>
    <x v="1"/>
    <s v="Laptop"/>
    <s v="Electronics"/>
    <n v="0"/>
    <n v="1200"/>
    <x v="0"/>
    <s v="Emeka"/>
    <s v="94"/>
    <s v="11/12/2026"/>
    <s v="David Smith"/>
    <x v="1"/>
    <s v="Laptop"/>
    <s v="Electronics"/>
    <s v="0"/>
    <s v="1200"/>
    <x v="0"/>
    <s v="Emeka"/>
    <n v="0"/>
    <s v="Low"/>
  </r>
  <r>
    <n v="95"/>
    <d v="2026-11-27T00:00:00"/>
    <s v="Peter Doe"/>
    <x v="2"/>
    <s v="Notebook"/>
    <s v="Stationery"/>
    <n v="0"/>
    <n v="5"/>
    <x v="3"/>
    <s v="Emeka"/>
    <s v="95"/>
    <s v="27/11/2026"/>
    <s v="Peter Doe"/>
    <x v="2"/>
    <s v="Notebook"/>
    <s v="Stationery"/>
    <s v="0"/>
    <s v="5"/>
    <x v="3"/>
    <s v="Emeka"/>
    <n v="0"/>
    <s v="Low"/>
  </r>
  <r>
    <n v="96"/>
    <d v="2026-05-06T00:00:00"/>
    <s v="David Smith"/>
    <x v="0"/>
    <s v="Printer"/>
    <s v="Electronics"/>
    <n v="8"/>
    <n v="250"/>
    <x v="1"/>
    <s v="Diana"/>
    <s v="96"/>
    <s v="06/05/2026"/>
    <s v="David Smith"/>
    <x v="0"/>
    <s v="Printer"/>
    <s v="Electronics"/>
    <s v="8"/>
    <s v="250"/>
    <x v="1"/>
    <s v="Diana"/>
    <n v="2000"/>
    <s v="High"/>
  </r>
  <r>
    <n v="97"/>
    <d v="2026-06-11T00:00:00"/>
    <s v=" mary boakye "/>
    <x v="0"/>
    <s v="Desk"/>
    <s v="Furniture"/>
    <n v="7"/>
    <n v="180"/>
    <x v="4"/>
    <s v="Diana"/>
    <s v="97"/>
    <s v="11/06/2026"/>
    <s v=" Mary Boakye "/>
    <x v="0"/>
    <s v="Desk"/>
    <s v="Furniture"/>
    <s v="7"/>
    <s v="180"/>
    <x v="4"/>
    <s v="Diana"/>
    <n v="1260"/>
    <s v="High"/>
  </r>
  <r>
    <n v="98"/>
    <d v="2026-08-03T00:00:00"/>
    <s v="Sarah Ann"/>
    <x v="1"/>
    <s v="Notebook"/>
    <s v="Stationery"/>
    <n v="1"/>
    <n v="5"/>
    <x v="3"/>
    <s v="Emeka"/>
    <s v="98"/>
    <s v="03/08/2026"/>
    <s v="Sarah Ann"/>
    <x v="1"/>
    <s v="Notebook"/>
    <s v="Stationery"/>
    <s v="1"/>
    <s v="5"/>
    <x v="3"/>
    <s v="Emeka"/>
    <n v="5"/>
    <s v="Low"/>
  </r>
  <r>
    <n v="99"/>
    <d v="2026-08-14T00:00:00"/>
    <s v="John Mensah"/>
    <x v="0"/>
    <s v="Laptop"/>
    <s v="Electronics"/>
    <n v="9"/>
    <n v="1200"/>
    <x v="3"/>
    <s v="Diana"/>
    <s v="99"/>
    <s v="14/08/2026"/>
    <s v="John Mensah"/>
    <x v="0"/>
    <s v="Laptop"/>
    <s v="Electronics"/>
    <s v="9"/>
    <s v="1200"/>
    <x v="3"/>
    <s v="Diana"/>
    <n v="10800"/>
    <s v="High"/>
  </r>
  <r>
    <n v="100"/>
    <d v="2026-05-18T00:00:00"/>
    <s v="Kofi Asare"/>
    <x v="1"/>
    <s v="Laptop"/>
    <s v="Electronics"/>
    <n v="4"/>
    <n v="1200"/>
    <x v="1"/>
    <s v="Alice"/>
    <s v="100"/>
    <s v="18/05/2026"/>
    <s v="Kofi Asare"/>
    <x v="1"/>
    <s v="Laptop"/>
    <s v="Electronics"/>
    <s v="4"/>
    <s v="1200"/>
    <x v="1"/>
    <s v="Alice"/>
    <n v="4800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5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20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City">
  <location ref="A1:B10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2"/>
        <item x="3"/>
        <item x="1"/>
        <item x="0"/>
        <item x="6"/>
        <item x="4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3"/>
        <item x="1"/>
        <item x="0"/>
        <item x="6"/>
        <item x="4"/>
        <item x="5"/>
        <item x="7"/>
        <item t="default"/>
      </items>
    </pivotField>
    <pivotField showAll="0"/>
    <pivotField dataField="1" showAll="0"/>
    <pivotField showAll="0"/>
  </pivotFields>
  <rowFields count="1">
    <field x="1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20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:B5" firstHeaderRow="1" firstDataRow="1" firstDataCol="1"/>
  <pivotFields count="22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20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activeCell="K1" sqref="K1"/>
    </sheetView>
  </sheetViews>
  <sheetFormatPr defaultRowHeight="15" x14ac:dyDescent="0.25"/>
  <cols>
    <col min="1" max="6" width="17.140625" customWidth="1"/>
    <col min="7" max="7" width="19.42578125" customWidth="1"/>
    <col min="8" max="10" width="17.140625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>
        <v>1</v>
      </c>
      <c r="B2" s="1">
        <v>46046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250</v>
      </c>
      <c r="I2" t="s">
        <v>14</v>
      </c>
      <c r="J2" t="s">
        <v>15</v>
      </c>
    </row>
    <row r="3" spans="1:10" x14ac:dyDescent="0.25">
      <c r="A3">
        <v>2</v>
      </c>
      <c r="B3" s="1">
        <v>46205</v>
      </c>
      <c r="C3" t="s">
        <v>16</v>
      </c>
      <c r="D3" t="s">
        <v>17</v>
      </c>
      <c r="E3" t="s">
        <v>18</v>
      </c>
      <c r="F3" t="s">
        <v>13</v>
      </c>
      <c r="G3">
        <v>10</v>
      </c>
      <c r="H3">
        <v>1200</v>
      </c>
      <c r="I3" t="s">
        <v>19</v>
      </c>
      <c r="J3" t="s">
        <v>15</v>
      </c>
    </row>
    <row r="4" spans="1:10" x14ac:dyDescent="0.25">
      <c r="A4">
        <v>3</v>
      </c>
      <c r="B4" s="1">
        <v>46211</v>
      </c>
      <c r="C4" t="s">
        <v>20</v>
      </c>
      <c r="D4" t="s">
        <v>47</v>
      </c>
      <c r="E4" t="s">
        <v>21</v>
      </c>
      <c r="F4" t="s">
        <v>13</v>
      </c>
      <c r="G4">
        <v>9</v>
      </c>
      <c r="H4">
        <v>25</v>
      </c>
      <c r="I4" t="s">
        <v>22</v>
      </c>
      <c r="J4" t="s">
        <v>23</v>
      </c>
    </row>
    <row r="5" spans="1:10" x14ac:dyDescent="0.25">
      <c r="A5">
        <v>4</v>
      </c>
      <c r="B5" s="1">
        <v>46182</v>
      </c>
      <c r="C5" t="s">
        <v>24</v>
      </c>
      <c r="D5" t="s">
        <v>11</v>
      </c>
      <c r="E5" t="s">
        <v>12</v>
      </c>
      <c r="F5" t="s">
        <v>13</v>
      </c>
      <c r="G5">
        <v>7</v>
      </c>
      <c r="H5">
        <v>250</v>
      </c>
      <c r="I5" t="s">
        <v>19</v>
      </c>
      <c r="J5" t="s">
        <v>25</v>
      </c>
    </row>
    <row r="6" spans="1:10" x14ac:dyDescent="0.25">
      <c r="A6">
        <v>5</v>
      </c>
      <c r="B6" s="1">
        <v>46193</v>
      </c>
      <c r="C6" t="s">
        <v>10</v>
      </c>
      <c r="D6" t="s">
        <v>17</v>
      </c>
      <c r="E6" t="s">
        <v>18</v>
      </c>
      <c r="F6" t="s">
        <v>13</v>
      </c>
      <c r="G6">
        <v>6</v>
      </c>
      <c r="H6">
        <v>1200</v>
      </c>
      <c r="I6" t="s">
        <v>26</v>
      </c>
      <c r="J6" t="s">
        <v>27</v>
      </c>
    </row>
    <row r="7" spans="1:10" x14ac:dyDescent="0.25">
      <c r="A7">
        <v>6</v>
      </c>
      <c r="B7" s="1">
        <v>46346</v>
      </c>
      <c r="C7" t="s">
        <v>28</v>
      </c>
      <c r="D7" t="s">
        <v>47</v>
      </c>
      <c r="E7" t="s">
        <v>29</v>
      </c>
      <c r="F7" t="s">
        <v>30</v>
      </c>
      <c r="G7">
        <v>5</v>
      </c>
      <c r="H7">
        <v>5</v>
      </c>
      <c r="I7" t="s">
        <v>14</v>
      </c>
      <c r="J7" t="s">
        <v>23</v>
      </c>
    </row>
    <row r="8" spans="1:10" x14ac:dyDescent="0.25">
      <c r="A8">
        <v>7</v>
      </c>
      <c r="B8" s="1">
        <v>46140</v>
      </c>
      <c r="C8" t="s">
        <v>31</v>
      </c>
      <c r="D8" t="s">
        <v>32</v>
      </c>
      <c r="E8" t="s">
        <v>33</v>
      </c>
      <c r="F8" t="s">
        <v>34</v>
      </c>
      <c r="G8">
        <v>2</v>
      </c>
      <c r="H8">
        <v>180</v>
      </c>
      <c r="I8" t="s">
        <v>35</v>
      </c>
      <c r="J8" t="s">
        <v>23</v>
      </c>
    </row>
    <row r="9" spans="1:10" x14ac:dyDescent="0.25">
      <c r="A9">
        <v>8</v>
      </c>
      <c r="B9" s="1">
        <v>46134</v>
      </c>
      <c r="C9" t="s">
        <v>10</v>
      </c>
      <c r="D9" t="s">
        <v>17</v>
      </c>
      <c r="E9" t="s">
        <v>33</v>
      </c>
      <c r="F9" t="s">
        <v>34</v>
      </c>
      <c r="G9">
        <v>6</v>
      </c>
      <c r="H9">
        <v>180</v>
      </c>
      <c r="I9" t="s">
        <v>14</v>
      </c>
      <c r="J9" t="s">
        <v>23</v>
      </c>
    </row>
    <row r="10" spans="1:10" x14ac:dyDescent="0.25">
      <c r="A10">
        <v>9</v>
      </c>
      <c r="B10" s="1">
        <v>46212</v>
      </c>
      <c r="C10" t="s">
        <v>36</v>
      </c>
      <c r="D10" t="s">
        <v>11</v>
      </c>
      <c r="E10" t="s">
        <v>21</v>
      </c>
      <c r="F10" t="s">
        <v>13</v>
      </c>
      <c r="G10">
        <v>8</v>
      </c>
      <c r="H10">
        <v>25</v>
      </c>
      <c r="I10" t="s">
        <v>22</v>
      </c>
      <c r="J10" t="s">
        <v>27</v>
      </c>
    </row>
    <row r="11" spans="1:10" x14ac:dyDescent="0.25">
      <c r="A11">
        <v>10</v>
      </c>
      <c r="B11" s="1">
        <v>46186</v>
      </c>
      <c r="C11" t="s">
        <v>10</v>
      </c>
      <c r="D11" t="s">
        <v>17</v>
      </c>
      <c r="E11" t="s">
        <v>21</v>
      </c>
      <c r="F11" t="s">
        <v>13</v>
      </c>
      <c r="G11">
        <v>1</v>
      </c>
      <c r="H11">
        <v>25</v>
      </c>
      <c r="I11" t="s">
        <v>14</v>
      </c>
      <c r="J11" t="s">
        <v>37</v>
      </c>
    </row>
    <row r="12" spans="1:10" x14ac:dyDescent="0.25">
      <c r="A12">
        <v>12</v>
      </c>
      <c r="B12" s="1">
        <v>46222</v>
      </c>
      <c r="C12" t="s">
        <v>38</v>
      </c>
      <c r="D12" t="s">
        <v>39</v>
      </c>
      <c r="E12" t="s">
        <v>33</v>
      </c>
      <c r="F12" t="s">
        <v>34</v>
      </c>
      <c r="G12">
        <v>10</v>
      </c>
      <c r="H12">
        <v>180</v>
      </c>
      <c r="I12" t="s">
        <v>40</v>
      </c>
      <c r="J12" t="s">
        <v>25</v>
      </c>
    </row>
    <row r="13" spans="1:10" x14ac:dyDescent="0.25">
      <c r="A13">
        <v>13</v>
      </c>
      <c r="B13" s="1">
        <v>46058</v>
      </c>
      <c r="C13" t="s">
        <v>24</v>
      </c>
      <c r="D13" t="s">
        <v>32</v>
      </c>
      <c r="E13" t="s">
        <v>18</v>
      </c>
      <c r="F13" t="s">
        <v>13</v>
      </c>
      <c r="G13">
        <v>1</v>
      </c>
      <c r="H13">
        <v>1200</v>
      </c>
      <c r="I13" t="s">
        <v>40</v>
      </c>
      <c r="J13" t="s">
        <v>25</v>
      </c>
    </row>
    <row r="14" spans="1:10" x14ac:dyDescent="0.25">
      <c r="A14">
        <v>14</v>
      </c>
      <c r="B14" s="1">
        <v>46293</v>
      </c>
      <c r="C14" t="s">
        <v>16</v>
      </c>
      <c r="D14" t="s">
        <v>17</v>
      </c>
      <c r="E14" t="s">
        <v>29</v>
      </c>
      <c r="F14" t="s">
        <v>30</v>
      </c>
      <c r="G14">
        <v>5</v>
      </c>
      <c r="H14">
        <v>5</v>
      </c>
      <c r="I14" t="s">
        <v>35</v>
      </c>
      <c r="J14" t="s">
        <v>37</v>
      </c>
    </row>
    <row r="15" spans="1:10" x14ac:dyDescent="0.25">
      <c r="A15">
        <v>15</v>
      </c>
      <c r="B15" s="1">
        <v>46209</v>
      </c>
      <c r="C15" t="s">
        <v>20</v>
      </c>
      <c r="D15" t="s">
        <v>17</v>
      </c>
      <c r="E15" t="s">
        <v>18</v>
      </c>
      <c r="F15" t="s">
        <v>13</v>
      </c>
      <c r="G15">
        <v>5</v>
      </c>
      <c r="H15">
        <v>1200</v>
      </c>
      <c r="I15" t="s">
        <v>35</v>
      </c>
      <c r="J15" t="s">
        <v>15</v>
      </c>
    </row>
    <row r="16" spans="1:10" x14ac:dyDescent="0.25">
      <c r="A16">
        <v>16</v>
      </c>
      <c r="B16" s="1">
        <v>46081</v>
      </c>
      <c r="C16" t="s">
        <v>10</v>
      </c>
      <c r="D16" t="s">
        <v>47</v>
      </c>
      <c r="E16" t="s">
        <v>21</v>
      </c>
      <c r="F16" t="s">
        <v>13</v>
      </c>
      <c r="G16">
        <v>9</v>
      </c>
      <c r="H16">
        <v>25</v>
      </c>
      <c r="I16" t="s">
        <v>22</v>
      </c>
      <c r="J16" t="s">
        <v>23</v>
      </c>
    </row>
    <row r="17" spans="1:10" x14ac:dyDescent="0.25">
      <c r="A17">
        <v>17</v>
      </c>
      <c r="B17" s="1">
        <v>46042</v>
      </c>
      <c r="C17" t="s">
        <v>28</v>
      </c>
      <c r="D17" t="s">
        <v>32</v>
      </c>
      <c r="E17" t="s">
        <v>29</v>
      </c>
      <c r="F17" t="s">
        <v>30</v>
      </c>
      <c r="G17">
        <v>0</v>
      </c>
      <c r="H17">
        <v>5</v>
      </c>
      <c r="I17" t="s">
        <v>22</v>
      </c>
      <c r="J17" t="s">
        <v>37</v>
      </c>
    </row>
    <row r="18" spans="1:10" x14ac:dyDescent="0.25">
      <c r="A18">
        <v>18</v>
      </c>
      <c r="B18" s="1">
        <v>46131</v>
      </c>
      <c r="C18" t="s">
        <v>31</v>
      </c>
      <c r="D18" t="s">
        <v>17</v>
      </c>
      <c r="E18" t="s">
        <v>21</v>
      </c>
      <c r="F18" t="s">
        <v>13</v>
      </c>
      <c r="G18">
        <v>1</v>
      </c>
      <c r="H18">
        <v>25</v>
      </c>
      <c r="I18" t="s">
        <v>22</v>
      </c>
      <c r="J18" t="s">
        <v>15</v>
      </c>
    </row>
    <row r="19" spans="1:10" x14ac:dyDescent="0.25">
      <c r="A19">
        <v>19</v>
      </c>
      <c r="B19" s="1">
        <v>46342</v>
      </c>
      <c r="C19" t="s">
        <v>36</v>
      </c>
      <c r="D19" t="s">
        <v>11</v>
      </c>
      <c r="E19" t="s">
        <v>21</v>
      </c>
      <c r="F19" t="s">
        <v>13</v>
      </c>
      <c r="G19">
        <v>3</v>
      </c>
      <c r="H19">
        <v>25</v>
      </c>
      <c r="I19" t="s">
        <v>26</v>
      </c>
      <c r="J19" t="s">
        <v>23</v>
      </c>
    </row>
    <row r="20" spans="1:10" x14ac:dyDescent="0.25">
      <c r="A20">
        <v>20</v>
      </c>
      <c r="B20" s="1">
        <v>46366</v>
      </c>
      <c r="C20" t="s">
        <v>38</v>
      </c>
      <c r="D20" t="s">
        <v>39</v>
      </c>
      <c r="E20" t="s">
        <v>29</v>
      </c>
      <c r="F20" t="s">
        <v>30</v>
      </c>
      <c r="G20">
        <v>4</v>
      </c>
      <c r="H20">
        <v>5</v>
      </c>
      <c r="I20" t="s">
        <v>19</v>
      </c>
      <c r="J20" t="s">
        <v>23</v>
      </c>
    </row>
    <row r="21" spans="1:10" x14ac:dyDescent="0.25">
      <c r="A21">
        <v>21</v>
      </c>
      <c r="B21" s="1">
        <v>46174</v>
      </c>
      <c r="C21" t="s">
        <v>41</v>
      </c>
      <c r="D21" t="s">
        <v>47</v>
      </c>
      <c r="E21" t="s">
        <v>21</v>
      </c>
      <c r="F21" t="s">
        <v>13</v>
      </c>
      <c r="G21">
        <v>2</v>
      </c>
      <c r="H21">
        <v>25</v>
      </c>
      <c r="I21" t="s">
        <v>19</v>
      </c>
      <c r="J21" t="s">
        <v>27</v>
      </c>
    </row>
    <row r="22" spans="1:10" x14ac:dyDescent="0.25">
      <c r="A22">
        <v>22</v>
      </c>
      <c r="B22" s="1">
        <v>46050</v>
      </c>
      <c r="C22" t="s">
        <v>28</v>
      </c>
      <c r="D22" t="s">
        <v>17</v>
      </c>
      <c r="E22" t="s">
        <v>21</v>
      </c>
      <c r="F22" t="s">
        <v>13</v>
      </c>
      <c r="G22">
        <v>2</v>
      </c>
      <c r="H22">
        <v>25</v>
      </c>
      <c r="I22" t="s">
        <v>26</v>
      </c>
      <c r="J22" t="s">
        <v>23</v>
      </c>
    </row>
    <row r="23" spans="1:10" x14ac:dyDescent="0.25">
      <c r="A23">
        <v>23</v>
      </c>
      <c r="B23" s="1">
        <v>46375</v>
      </c>
      <c r="C23" t="s">
        <v>41</v>
      </c>
      <c r="D23" t="s">
        <v>32</v>
      </c>
      <c r="E23" t="s">
        <v>29</v>
      </c>
      <c r="F23" t="s">
        <v>30</v>
      </c>
      <c r="G23">
        <v>3</v>
      </c>
      <c r="H23">
        <v>5</v>
      </c>
      <c r="I23" t="s">
        <v>26</v>
      </c>
      <c r="J23" t="s">
        <v>23</v>
      </c>
    </row>
    <row r="24" spans="1:10" x14ac:dyDescent="0.25">
      <c r="A24">
        <v>24</v>
      </c>
      <c r="B24" s="1">
        <v>46340</v>
      </c>
      <c r="C24" t="s">
        <v>28</v>
      </c>
      <c r="D24" t="s">
        <v>32</v>
      </c>
      <c r="E24" t="s">
        <v>18</v>
      </c>
      <c r="F24" t="s">
        <v>13</v>
      </c>
      <c r="G24">
        <v>2</v>
      </c>
      <c r="H24">
        <v>1200</v>
      </c>
      <c r="I24" t="s">
        <v>19</v>
      </c>
      <c r="J24" t="s">
        <v>27</v>
      </c>
    </row>
    <row r="25" spans="1:10" x14ac:dyDescent="0.25">
      <c r="A25">
        <v>25</v>
      </c>
      <c r="B25" s="1">
        <v>46367</v>
      </c>
      <c r="C25" t="s">
        <v>31</v>
      </c>
      <c r="D25" t="s">
        <v>11</v>
      </c>
      <c r="E25" t="s">
        <v>18</v>
      </c>
      <c r="F25" t="s">
        <v>13</v>
      </c>
      <c r="G25">
        <v>7</v>
      </c>
      <c r="H25">
        <v>1200</v>
      </c>
      <c r="I25" t="s">
        <v>42</v>
      </c>
      <c r="J25" t="s">
        <v>25</v>
      </c>
    </row>
    <row r="26" spans="1:10" x14ac:dyDescent="0.25">
      <c r="A26">
        <v>26</v>
      </c>
      <c r="B26" s="1">
        <v>46242</v>
      </c>
      <c r="C26" t="s">
        <v>31</v>
      </c>
      <c r="D26" t="s">
        <v>32</v>
      </c>
      <c r="E26" t="s">
        <v>21</v>
      </c>
      <c r="F26" t="s">
        <v>13</v>
      </c>
      <c r="G26">
        <v>5</v>
      </c>
      <c r="H26">
        <v>25</v>
      </c>
      <c r="I26" t="s">
        <v>19</v>
      </c>
      <c r="J26" t="s">
        <v>27</v>
      </c>
    </row>
    <row r="27" spans="1:10" x14ac:dyDescent="0.25">
      <c r="A27">
        <v>27</v>
      </c>
      <c r="B27" s="1">
        <v>46025</v>
      </c>
      <c r="C27" t="s">
        <v>43</v>
      </c>
      <c r="D27" t="s">
        <v>11</v>
      </c>
      <c r="E27" t="s">
        <v>12</v>
      </c>
      <c r="F27" t="s">
        <v>13</v>
      </c>
      <c r="G27">
        <v>9</v>
      </c>
      <c r="H27">
        <v>250</v>
      </c>
      <c r="I27" t="s">
        <v>22</v>
      </c>
      <c r="J27" t="s">
        <v>25</v>
      </c>
    </row>
    <row r="28" spans="1:10" x14ac:dyDescent="0.25">
      <c r="A28">
        <v>28</v>
      </c>
      <c r="B28" s="1">
        <v>46204</v>
      </c>
      <c r="C28" t="s">
        <v>38</v>
      </c>
      <c r="D28" t="s">
        <v>39</v>
      </c>
      <c r="E28" t="s">
        <v>18</v>
      </c>
      <c r="F28" t="s">
        <v>13</v>
      </c>
      <c r="G28">
        <v>3</v>
      </c>
      <c r="H28">
        <v>1200</v>
      </c>
      <c r="I28" t="s">
        <v>35</v>
      </c>
      <c r="J28" t="s">
        <v>25</v>
      </c>
    </row>
    <row r="29" spans="1:10" x14ac:dyDescent="0.25">
      <c r="A29">
        <v>29</v>
      </c>
      <c r="B29" s="1">
        <v>46349</v>
      </c>
      <c r="C29" t="s">
        <v>20</v>
      </c>
      <c r="D29" t="s">
        <v>11</v>
      </c>
      <c r="E29" t="s">
        <v>12</v>
      </c>
      <c r="F29" t="s">
        <v>13</v>
      </c>
      <c r="G29">
        <v>9</v>
      </c>
      <c r="H29">
        <v>250</v>
      </c>
      <c r="I29" t="s">
        <v>19</v>
      </c>
      <c r="J29" t="s">
        <v>15</v>
      </c>
    </row>
    <row r="30" spans="1:10" x14ac:dyDescent="0.25">
      <c r="A30">
        <v>30</v>
      </c>
      <c r="B30" s="1">
        <v>46046</v>
      </c>
      <c r="C30" t="s">
        <v>28</v>
      </c>
      <c r="D30" t="s">
        <v>17</v>
      </c>
      <c r="E30" t="s">
        <v>12</v>
      </c>
      <c r="F30" t="s">
        <v>13</v>
      </c>
      <c r="G30">
        <v>9</v>
      </c>
      <c r="H30">
        <v>250</v>
      </c>
      <c r="I30" t="s">
        <v>22</v>
      </c>
      <c r="J30" t="s">
        <v>15</v>
      </c>
    </row>
    <row r="31" spans="1:10" x14ac:dyDescent="0.25">
      <c r="A31">
        <v>31</v>
      </c>
      <c r="B31" s="1">
        <v>46268</v>
      </c>
      <c r="C31" t="s">
        <v>24</v>
      </c>
      <c r="D31" t="s">
        <v>17</v>
      </c>
      <c r="E31" t="s">
        <v>21</v>
      </c>
      <c r="F31" t="s">
        <v>13</v>
      </c>
      <c r="G31">
        <v>1</v>
      </c>
      <c r="H31">
        <v>25</v>
      </c>
      <c r="I31" t="s">
        <v>42</v>
      </c>
      <c r="J31" t="s">
        <v>25</v>
      </c>
    </row>
    <row r="32" spans="1:10" x14ac:dyDescent="0.25">
      <c r="A32">
        <v>32</v>
      </c>
      <c r="B32" s="1">
        <v>46131</v>
      </c>
      <c r="C32" t="s">
        <v>41</v>
      </c>
      <c r="D32" t="s">
        <v>17</v>
      </c>
      <c r="E32" t="s">
        <v>18</v>
      </c>
      <c r="F32" t="s">
        <v>13</v>
      </c>
      <c r="G32">
        <v>10</v>
      </c>
      <c r="H32">
        <v>1200</v>
      </c>
      <c r="I32" t="s">
        <v>40</v>
      </c>
      <c r="J32" t="s">
        <v>15</v>
      </c>
    </row>
    <row r="33" spans="1:10" x14ac:dyDescent="0.25">
      <c r="A33">
        <v>33</v>
      </c>
      <c r="B33" s="1">
        <v>46149</v>
      </c>
      <c r="C33" t="s">
        <v>28</v>
      </c>
      <c r="D33" t="s">
        <v>11</v>
      </c>
      <c r="E33" t="s">
        <v>29</v>
      </c>
      <c r="F33" t="s">
        <v>30</v>
      </c>
      <c r="G33">
        <v>6</v>
      </c>
      <c r="H33">
        <v>5</v>
      </c>
      <c r="I33" t="s">
        <v>14</v>
      </c>
      <c r="J33" t="s">
        <v>37</v>
      </c>
    </row>
    <row r="34" spans="1:10" x14ac:dyDescent="0.25">
      <c r="A34">
        <v>34</v>
      </c>
      <c r="B34" s="1">
        <v>46054</v>
      </c>
      <c r="C34" t="s">
        <v>20</v>
      </c>
      <c r="D34" t="s">
        <v>47</v>
      </c>
      <c r="E34" t="s">
        <v>44</v>
      </c>
      <c r="F34" t="s">
        <v>34</v>
      </c>
      <c r="G34">
        <v>6</v>
      </c>
      <c r="H34">
        <v>95</v>
      </c>
      <c r="I34" t="s">
        <v>19</v>
      </c>
      <c r="J34" t="s">
        <v>15</v>
      </c>
    </row>
    <row r="35" spans="1:10" x14ac:dyDescent="0.25">
      <c r="A35">
        <v>35</v>
      </c>
      <c r="B35" s="1">
        <v>46147</v>
      </c>
      <c r="C35" t="s">
        <v>28</v>
      </c>
      <c r="D35" t="s">
        <v>17</v>
      </c>
      <c r="E35" t="s">
        <v>21</v>
      </c>
      <c r="F35" t="s">
        <v>13</v>
      </c>
      <c r="G35">
        <v>9</v>
      </c>
      <c r="H35">
        <v>25</v>
      </c>
      <c r="I35" t="s">
        <v>42</v>
      </c>
      <c r="J35" t="s">
        <v>25</v>
      </c>
    </row>
    <row r="36" spans="1:10" x14ac:dyDescent="0.25">
      <c r="A36">
        <v>36</v>
      </c>
      <c r="B36" s="1">
        <v>46321</v>
      </c>
      <c r="C36" t="s">
        <v>36</v>
      </c>
      <c r="D36" t="s">
        <v>17</v>
      </c>
      <c r="E36" t="s">
        <v>29</v>
      </c>
      <c r="F36" t="s">
        <v>30</v>
      </c>
      <c r="G36">
        <v>5</v>
      </c>
      <c r="H36">
        <v>5</v>
      </c>
      <c r="I36" t="s">
        <v>14</v>
      </c>
      <c r="J36" t="s">
        <v>27</v>
      </c>
    </row>
    <row r="37" spans="1:10" x14ac:dyDescent="0.25">
      <c r="A37">
        <v>37</v>
      </c>
      <c r="B37" s="1">
        <v>46057</v>
      </c>
      <c r="C37" t="s">
        <v>36</v>
      </c>
      <c r="D37" t="s">
        <v>11</v>
      </c>
      <c r="E37" t="s">
        <v>21</v>
      </c>
      <c r="F37" t="s">
        <v>13</v>
      </c>
      <c r="G37">
        <v>5</v>
      </c>
      <c r="H37">
        <v>25</v>
      </c>
      <c r="I37" t="s">
        <v>14</v>
      </c>
      <c r="J37" t="s">
        <v>37</v>
      </c>
    </row>
    <row r="38" spans="1:10" x14ac:dyDescent="0.25">
      <c r="A38">
        <v>38</v>
      </c>
      <c r="B38" s="1">
        <v>46281</v>
      </c>
      <c r="C38" t="s">
        <v>10</v>
      </c>
      <c r="D38" t="s">
        <v>17</v>
      </c>
      <c r="E38" t="s">
        <v>21</v>
      </c>
      <c r="F38" t="s">
        <v>13</v>
      </c>
      <c r="G38">
        <v>5</v>
      </c>
      <c r="H38">
        <v>25</v>
      </c>
      <c r="I38" t="s">
        <v>35</v>
      </c>
      <c r="J38" t="s">
        <v>27</v>
      </c>
    </row>
    <row r="39" spans="1:10" x14ac:dyDescent="0.25">
      <c r="A39">
        <v>39</v>
      </c>
      <c r="B39" s="1">
        <v>46102</v>
      </c>
      <c r="C39" t="s">
        <v>10</v>
      </c>
      <c r="D39" t="s">
        <v>11</v>
      </c>
      <c r="E39" t="s">
        <v>18</v>
      </c>
      <c r="F39" t="s">
        <v>13</v>
      </c>
      <c r="G39">
        <v>6</v>
      </c>
      <c r="H39">
        <v>1200</v>
      </c>
      <c r="I39" t="s">
        <v>26</v>
      </c>
      <c r="J39" t="s">
        <v>15</v>
      </c>
    </row>
    <row r="40" spans="1:10" x14ac:dyDescent="0.25">
      <c r="A40">
        <v>40</v>
      </c>
      <c r="B40" s="1">
        <v>46076</v>
      </c>
      <c r="C40" t="s">
        <v>24</v>
      </c>
      <c r="D40" t="s">
        <v>47</v>
      </c>
      <c r="E40" t="s">
        <v>18</v>
      </c>
      <c r="F40" t="s">
        <v>13</v>
      </c>
      <c r="G40">
        <v>0</v>
      </c>
      <c r="H40">
        <v>1200</v>
      </c>
      <c r="I40" t="s">
        <v>40</v>
      </c>
      <c r="J40" t="s">
        <v>23</v>
      </c>
    </row>
    <row r="41" spans="1:10" x14ac:dyDescent="0.25">
      <c r="A41">
        <v>41</v>
      </c>
      <c r="B41" s="1">
        <v>46032</v>
      </c>
      <c r="C41" t="s">
        <v>28</v>
      </c>
      <c r="D41" t="s">
        <v>17</v>
      </c>
      <c r="E41" t="s">
        <v>44</v>
      </c>
      <c r="F41" t="s">
        <v>34</v>
      </c>
      <c r="G41">
        <v>3</v>
      </c>
      <c r="H41">
        <v>95</v>
      </c>
      <c r="I41" t="s">
        <v>42</v>
      </c>
      <c r="J41" t="s">
        <v>27</v>
      </c>
    </row>
    <row r="42" spans="1:10" x14ac:dyDescent="0.25">
      <c r="A42">
        <v>42</v>
      </c>
      <c r="B42" s="1">
        <v>46223</v>
      </c>
      <c r="C42" t="s">
        <v>24</v>
      </c>
      <c r="D42" t="s">
        <v>11</v>
      </c>
      <c r="E42" t="s">
        <v>33</v>
      </c>
      <c r="F42" t="s">
        <v>34</v>
      </c>
      <c r="G42">
        <v>9</v>
      </c>
      <c r="H42">
        <v>180</v>
      </c>
      <c r="I42" t="s">
        <v>22</v>
      </c>
      <c r="J42" t="s">
        <v>23</v>
      </c>
    </row>
    <row r="43" spans="1:10" x14ac:dyDescent="0.25">
      <c r="A43">
        <v>43</v>
      </c>
      <c r="B43" s="1">
        <v>46105</v>
      </c>
      <c r="C43" t="s">
        <v>28</v>
      </c>
      <c r="D43" t="s">
        <v>32</v>
      </c>
      <c r="E43" t="s">
        <v>44</v>
      </c>
      <c r="F43" t="s">
        <v>34</v>
      </c>
      <c r="G43">
        <v>1</v>
      </c>
      <c r="H43">
        <v>95</v>
      </c>
      <c r="I43" t="s">
        <v>22</v>
      </c>
      <c r="J43" t="s">
        <v>23</v>
      </c>
    </row>
    <row r="44" spans="1:10" x14ac:dyDescent="0.25">
      <c r="A44">
        <v>44</v>
      </c>
      <c r="B44" s="1">
        <v>46360</v>
      </c>
      <c r="C44" t="s">
        <v>38</v>
      </c>
      <c r="D44" t="s">
        <v>17</v>
      </c>
      <c r="E44" t="s">
        <v>33</v>
      </c>
      <c r="F44" t="s">
        <v>34</v>
      </c>
      <c r="G44">
        <v>3</v>
      </c>
      <c r="H44">
        <v>180</v>
      </c>
      <c r="I44" t="s">
        <v>22</v>
      </c>
      <c r="J44" t="s">
        <v>25</v>
      </c>
    </row>
    <row r="45" spans="1:10" x14ac:dyDescent="0.25">
      <c r="A45">
        <v>45</v>
      </c>
      <c r="B45" s="1">
        <v>46120</v>
      </c>
      <c r="C45" t="s">
        <v>16</v>
      </c>
      <c r="D45" t="s">
        <v>11</v>
      </c>
      <c r="E45" t="s">
        <v>33</v>
      </c>
      <c r="F45" t="s">
        <v>34</v>
      </c>
      <c r="G45">
        <v>5</v>
      </c>
      <c r="H45">
        <v>180</v>
      </c>
      <c r="I45" t="s">
        <v>19</v>
      </c>
      <c r="J45" t="s">
        <v>37</v>
      </c>
    </row>
    <row r="46" spans="1:10" x14ac:dyDescent="0.25">
      <c r="A46">
        <v>46</v>
      </c>
      <c r="B46" s="1">
        <v>46225</v>
      </c>
      <c r="C46" t="s">
        <v>36</v>
      </c>
      <c r="D46" t="s">
        <v>39</v>
      </c>
      <c r="E46" t="s">
        <v>33</v>
      </c>
      <c r="F46" t="s">
        <v>34</v>
      </c>
      <c r="G46">
        <v>9</v>
      </c>
      <c r="H46">
        <v>180</v>
      </c>
      <c r="I46" t="s">
        <v>35</v>
      </c>
      <c r="J46" t="s">
        <v>23</v>
      </c>
    </row>
    <row r="47" spans="1:10" x14ac:dyDescent="0.25">
      <c r="A47">
        <v>47</v>
      </c>
      <c r="B47" s="1">
        <v>46026</v>
      </c>
      <c r="C47" t="s">
        <v>41</v>
      </c>
      <c r="D47" t="s">
        <v>32</v>
      </c>
      <c r="E47" t="s">
        <v>29</v>
      </c>
      <c r="F47" t="s">
        <v>30</v>
      </c>
      <c r="G47">
        <v>5</v>
      </c>
      <c r="H47">
        <v>5</v>
      </c>
      <c r="I47" t="s">
        <v>26</v>
      </c>
      <c r="J47" t="s">
        <v>15</v>
      </c>
    </row>
    <row r="48" spans="1:10" x14ac:dyDescent="0.25">
      <c r="A48">
        <v>48</v>
      </c>
      <c r="B48" s="1">
        <v>46222</v>
      </c>
      <c r="C48" t="s">
        <v>43</v>
      </c>
      <c r="D48" t="s">
        <v>39</v>
      </c>
      <c r="E48" t="s">
        <v>29</v>
      </c>
      <c r="F48" t="s">
        <v>30</v>
      </c>
      <c r="G48">
        <v>0</v>
      </c>
      <c r="H48">
        <v>5</v>
      </c>
      <c r="I48" t="s">
        <v>40</v>
      </c>
      <c r="J48" t="s">
        <v>15</v>
      </c>
    </row>
    <row r="49" spans="1:10" x14ac:dyDescent="0.25">
      <c r="A49">
        <v>49</v>
      </c>
      <c r="B49" s="1">
        <v>46187</v>
      </c>
      <c r="C49" t="s">
        <v>31</v>
      </c>
      <c r="D49" t="s">
        <v>39</v>
      </c>
      <c r="E49" t="s">
        <v>12</v>
      </c>
      <c r="F49" t="s">
        <v>13</v>
      </c>
      <c r="G49">
        <v>4</v>
      </c>
      <c r="H49">
        <v>250</v>
      </c>
      <c r="I49" t="s">
        <v>19</v>
      </c>
      <c r="J49" t="s">
        <v>37</v>
      </c>
    </row>
    <row r="50" spans="1:10" x14ac:dyDescent="0.25">
      <c r="A50">
        <v>50</v>
      </c>
      <c r="B50" s="1">
        <v>46340</v>
      </c>
      <c r="C50" t="s">
        <v>28</v>
      </c>
      <c r="D50" t="s">
        <v>32</v>
      </c>
      <c r="E50" t="s">
        <v>29</v>
      </c>
      <c r="F50" t="s">
        <v>30</v>
      </c>
      <c r="G50">
        <v>5</v>
      </c>
      <c r="H50">
        <v>5</v>
      </c>
      <c r="I50" t="s">
        <v>42</v>
      </c>
      <c r="J50" t="s">
        <v>25</v>
      </c>
    </row>
    <row r="51" spans="1:10" x14ac:dyDescent="0.25">
      <c r="A51">
        <v>51</v>
      </c>
      <c r="B51" s="1">
        <v>46350</v>
      </c>
      <c r="C51" t="s">
        <v>45</v>
      </c>
      <c r="D51" t="s">
        <v>47</v>
      </c>
      <c r="E51" t="s">
        <v>12</v>
      </c>
      <c r="F51" t="s">
        <v>13</v>
      </c>
      <c r="G51">
        <v>7</v>
      </c>
      <c r="H51">
        <v>250</v>
      </c>
      <c r="I51" t="s">
        <v>22</v>
      </c>
      <c r="J51" t="s">
        <v>27</v>
      </c>
    </row>
    <row r="52" spans="1:10" x14ac:dyDescent="0.25">
      <c r="A52">
        <v>52</v>
      </c>
      <c r="B52" s="1">
        <v>46126</v>
      </c>
      <c r="C52" t="s">
        <v>41</v>
      </c>
      <c r="D52" t="s">
        <v>47</v>
      </c>
      <c r="E52" t="s">
        <v>33</v>
      </c>
      <c r="F52" t="s">
        <v>34</v>
      </c>
      <c r="G52">
        <v>5</v>
      </c>
      <c r="H52">
        <v>180</v>
      </c>
      <c r="I52" t="s">
        <v>26</v>
      </c>
      <c r="J52" t="s">
        <v>23</v>
      </c>
    </row>
    <row r="53" spans="1:10" x14ac:dyDescent="0.25">
      <c r="A53">
        <v>53</v>
      </c>
      <c r="B53" s="1">
        <v>46362</v>
      </c>
      <c r="C53" t="s">
        <v>31</v>
      </c>
      <c r="D53" t="s">
        <v>39</v>
      </c>
      <c r="E53" t="s">
        <v>29</v>
      </c>
      <c r="F53" t="s">
        <v>30</v>
      </c>
      <c r="G53">
        <v>8</v>
      </c>
      <c r="H53">
        <v>5</v>
      </c>
      <c r="I53" t="s">
        <v>35</v>
      </c>
      <c r="J53" t="s">
        <v>27</v>
      </c>
    </row>
    <row r="54" spans="1:10" x14ac:dyDescent="0.25">
      <c r="A54">
        <v>54</v>
      </c>
      <c r="B54" s="1">
        <v>46138</v>
      </c>
      <c r="C54" t="s">
        <v>43</v>
      </c>
      <c r="D54" t="s">
        <v>11</v>
      </c>
      <c r="E54" t="s">
        <v>21</v>
      </c>
      <c r="F54" t="s">
        <v>13</v>
      </c>
      <c r="G54">
        <v>0</v>
      </c>
      <c r="H54">
        <v>25</v>
      </c>
      <c r="I54" t="s">
        <v>26</v>
      </c>
      <c r="J54" t="s">
        <v>15</v>
      </c>
    </row>
    <row r="55" spans="1:10" x14ac:dyDescent="0.25">
      <c r="A55">
        <v>55</v>
      </c>
      <c r="B55" s="1">
        <v>46224</v>
      </c>
      <c r="C55" t="s">
        <v>41</v>
      </c>
      <c r="D55" t="s">
        <v>11</v>
      </c>
      <c r="E55" t="s">
        <v>18</v>
      </c>
      <c r="F55" t="s">
        <v>13</v>
      </c>
      <c r="G55">
        <v>8</v>
      </c>
      <c r="H55">
        <v>1200</v>
      </c>
      <c r="I55" t="s">
        <v>26</v>
      </c>
      <c r="J55" t="s">
        <v>23</v>
      </c>
    </row>
    <row r="56" spans="1:10" x14ac:dyDescent="0.25">
      <c r="A56">
        <v>56</v>
      </c>
      <c r="B56" s="1">
        <v>46078</v>
      </c>
      <c r="C56" t="s">
        <v>38</v>
      </c>
      <c r="D56" t="s">
        <v>11</v>
      </c>
      <c r="E56" t="s">
        <v>21</v>
      </c>
      <c r="F56" t="s">
        <v>13</v>
      </c>
      <c r="G56">
        <v>1</v>
      </c>
      <c r="H56">
        <v>25</v>
      </c>
      <c r="I56" t="s">
        <v>40</v>
      </c>
      <c r="J56" t="s">
        <v>25</v>
      </c>
    </row>
    <row r="57" spans="1:10" x14ac:dyDescent="0.25">
      <c r="A57">
        <v>57</v>
      </c>
      <c r="B57" s="1">
        <v>46140</v>
      </c>
      <c r="C57" t="s">
        <v>31</v>
      </c>
      <c r="D57" t="s">
        <v>32</v>
      </c>
      <c r="E57" t="s">
        <v>18</v>
      </c>
      <c r="F57" t="s">
        <v>13</v>
      </c>
      <c r="G57">
        <v>9</v>
      </c>
      <c r="H57">
        <v>1200</v>
      </c>
      <c r="I57" t="s">
        <v>40</v>
      </c>
      <c r="J57" t="s">
        <v>15</v>
      </c>
    </row>
    <row r="58" spans="1:10" x14ac:dyDescent="0.25">
      <c r="A58">
        <v>58</v>
      </c>
      <c r="B58" s="1">
        <v>46254</v>
      </c>
      <c r="C58" t="s">
        <v>36</v>
      </c>
      <c r="D58" t="s">
        <v>32</v>
      </c>
      <c r="E58" t="s">
        <v>29</v>
      </c>
      <c r="F58" t="s">
        <v>30</v>
      </c>
      <c r="G58">
        <v>6</v>
      </c>
      <c r="H58">
        <v>5</v>
      </c>
      <c r="I58" t="s">
        <v>42</v>
      </c>
      <c r="J58" t="s">
        <v>25</v>
      </c>
    </row>
    <row r="59" spans="1:10" x14ac:dyDescent="0.25">
      <c r="A59">
        <v>59</v>
      </c>
      <c r="B59" s="1">
        <v>46139</v>
      </c>
      <c r="C59" t="s">
        <v>10</v>
      </c>
      <c r="D59" t="s">
        <v>47</v>
      </c>
      <c r="E59" t="s">
        <v>44</v>
      </c>
      <c r="F59" t="s">
        <v>34</v>
      </c>
      <c r="G59">
        <v>5</v>
      </c>
      <c r="H59">
        <v>95</v>
      </c>
      <c r="I59" t="s">
        <v>26</v>
      </c>
      <c r="J59" t="s">
        <v>27</v>
      </c>
    </row>
    <row r="60" spans="1:10" x14ac:dyDescent="0.25">
      <c r="A60">
        <v>60</v>
      </c>
      <c r="B60" s="1">
        <v>46121</v>
      </c>
      <c r="C60" t="s">
        <v>28</v>
      </c>
      <c r="D60" t="s">
        <v>39</v>
      </c>
      <c r="E60" t="s">
        <v>12</v>
      </c>
      <c r="F60" t="s">
        <v>13</v>
      </c>
      <c r="G60">
        <v>5</v>
      </c>
      <c r="H60">
        <v>250</v>
      </c>
      <c r="I60" t="s">
        <v>42</v>
      </c>
      <c r="J60" t="s">
        <v>23</v>
      </c>
    </row>
    <row r="61" spans="1:10" x14ac:dyDescent="0.25">
      <c r="A61">
        <v>61</v>
      </c>
      <c r="B61" s="1">
        <v>46363</v>
      </c>
      <c r="C61" t="s">
        <v>31</v>
      </c>
      <c r="D61" t="s">
        <v>32</v>
      </c>
      <c r="E61" t="s">
        <v>44</v>
      </c>
      <c r="F61" t="s">
        <v>34</v>
      </c>
      <c r="G61">
        <v>3</v>
      </c>
      <c r="H61">
        <v>95</v>
      </c>
      <c r="I61" t="s">
        <v>26</v>
      </c>
      <c r="J61" t="s">
        <v>27</v>
      </c>
    </row>
    <row r="62" spans="1:10" x14ac:dyDescent="0.25">
      <c r="A62">
        <v>62</v>
      </c>
      <c r="B62" s="1">
        <v>46228</v>
      </c>
      <c r="C62" t="s">
        <v>41</v>
      </c>
      <c r="D62" t="s">
        <v>17</v>
      </c>
      <c r="E62" t="s">
        <v>21</v>
      </c>
      <c r="F62" t="s">
        <v>13</v>
      </c>
      <c r="G62">
        <v>7</v>
      </c>
      <c r="H62">
        <v>25</v>
      </c>
      <c r="I62" t="s">
        <v>26</v>
      </c>
      <c r="J62" t="s">
        <v>25</v>
      </c>
    </row>
    <row r="63" spans="1:10" x14ac:dyDescent="0.25">
      <c r="A63">
        <v>63</v>
      </c>
      <c r="B63" s="1">
        <v>46167</v>
      </c>
      <c r="C63" t="s">
        <v>38</v>
      </c>
      <c r="D63" t="s">
        <v>32</v>
      </c>
      <c r="E63" t="s">
        <v>18</v>
      </c>
      <c r="F63" t="s">
        <v>13</v>
      </c>
      <c r="G63">
        <v>6</v>
      </c>
      <c r="H63">
        <v>1200</v>
      </c>
      <c r="I63" t="s">
        <v>22</v>
      </c>
      <c r="J63" t="s">
        <v>15</v>
      </c>
    </row>
    <row r="64" spans="1:10" x14ac:dyDescent="0.25">
      <c r="A64">
        <v>64</v>
      </c>
      <c r="B64" s="1">
        <v>46121</v>
      </c>
      <c r="C64" t="s">
        <v>38</v>
      </c>
      <c r="D64" t="s">
        <v>32</v>
      </c>
      <c r="E64" t="s">
        <v>21</v>
      </c>
      <c r="F64" t="s">
        <v>13</v>
      </c>
      <c r="G64">
        <v>0</v>
      </c>
      <c r="H64">
        <v>25</v>
      </c>
      <c r="I64" t="s">
        <v>14</v>
      </c>
      <c r="J64" t="s">
        <v>25</v>
      </c>
    </row>
    <row r="65" spans="1:10" x14ac:dyDescent="0.25">
      <c r="A65">
        <v>65</v>
      </c>
      <c r="B65" s="1">
        <v>46239</v>
      </c>
      <c r="C65" t="s">
        <v>41</v>
      </c>
      <c r="D65" t="s">
        <v>47</v>
      </c>
      <c r="E65" t="s">
        <v>12</v>
      </c>
      <c r="F65" t="s">
        <v>13</v>
      </c>
      <c r="G65">
        <v>0</v>
      </c>
      <c r="H65">
        <v>250</v>
      </c>
      <c r="I65" t="s">
        <v>40</v>
      </c>
      <c r="J65" t="s">
        <v>27</v>
      </c>
    </row>
    <row r="66" spans="1:10" x14ac:dyDescent="0.25">
      <c r="A66">
        <v>66</v>
      </c>
      <c r="B66" s="1">
        <v>46109</v>
      </c>
      <c r="C66" t="s">
        <v>20</v>
      </c>
      <c r="D66" t="s">
        <v>11</v>
      </c>
      <c r="E66" t="s">
        <v>18</v>
      </c>
      <c r="F66" t="s">
        <v>13</v>
      </c>
      <c r="G66">
        <v>7</v>
      </c>
      <c r="H66">
        <v>1200</v>
      </c>
      <c r="I66" t="s">
        <v>42</v>
      </c>
      <c r="J66" t="s">
        <v>25</v>
      </c>
    </row>
    <row r="67" spans="1:10" x14ac:dyDescent="0.25">
      <c r="A67">
        <v>67</v>
      </c>
      <c r="B67" s="1">
        <v>46212</v>
      </c>
      <c r="C67" t="s">
        <v>38</v>
      </c>
      <c r="D67" t="s">
        <v>39</v>
      </c>
      <c r="E67" t="s">
        <v>33</v>
      </c>
      <c r="F67" t="s">
        <v>34</v>
      </c>
      <c r="G67">
        <v>6</v>
      </c>
      <c r="H67">
        <v>180</v>
      </c>
      <c r="I67" t="s">
        <v>14</v>
      </c>
      <c r="J67" t="s">
        <v>15</v>
      </c>
    </row>
    <row r="68" spans="1:10" x14ac:dyDescent="0.25">
      <c r="A68">
        <v>68</v>
      </c>
      <c r="B68" s="1">
        <v>46133</v>
      </c>
      <c r="C68" t="s">
        <v>31</v>
      </c>
      <c r="D68" t="s">
        <v>17</v>
      </c>
      <c r="E68" t="s">
        <v>18</v>
      </c>
      <c r="F68" t="s">
        <v>13</v>
      </c>
      <c r="G68">
        <v>6</v>
      </c>
      <c r="H68">
        <v>1200</v>
      </c>
      <c r="I68" t="s">
        <v>42</v>
      </c>
      <c r="J68" t="s">
        <v>27</v>
      </c>
    </row>
    <row r="69" spans="1:10" x14ac:dyDescent="0.25">
      <c r="A69">
        <v>69</v>
      </c>
      <c r="B69" s="1">
        <v>46117</v>
      </c>
      <c r="C69" t="s">
        <v>20</v>
      </c>
      <c r="D69" t="s">
        <v>17</v>
      </c>
      <c r="E69" t="s">
        <v>29</v>
      </c>
      <c r="F69" t="s">
        <v>30</v>
      </c>
      <c r="G69">
        <v>3</v>
      </c>
      <c r="H69">
        <v>5</v>
      </c>
      <c r="I69" t="s">
        <v>14</v>
      </c>
      <c r="J69" t="s">
        <v>37</v>
      </c>
    </row>
    <row r="70" spans="1:10" x14ac:dyDescent="0.25">
      <c r="A70">
        <v>70</v>
      </c>
      <c r="B70" s="1">
        <v>46315</v>
      </c>
      <c r="C70" t="s">
        <v>31</v>
      </c>
      <c r="D70" t="s">
        <v>11</v>
      </c>
      <c r="E70" t="s">
        <v>33</v>
      </c>
      <c r="F70" t="s">
        <v>34</v>
      </c>
      <c r="G70">
        <v>3</v>
      </c>
      <c r="H70">
        <v>180</v>
      </c>
      <c r="I70" t="s">
        <v>19</v>
      </c>
      <c r="J70" t="s">
        <v>37</v>
      </c>
    </row>
    <row r="71" spans="1:10" x14ac:dyDescent="0.25">
      <c r="A71">
        <v>71</v>
      </c>
      <c r="B71" s="1">
        <v>46226</v>
      </c>
      <c r="C71" t="s">
        <v>43</v>
      </c>
      <c r="D71" t="s">
        <v>17</v>
      </c>
      <c r="E71" t="s">
        <v>29</v>
      </c>
      <c r="F71" t="s">
        <v>30</v>
      </c>
      <c r="G71">
        <v>7</v>
      </c>
      <c r="H71">
        <v>5</v>
      </c>
      <c r="I71" t="s">
        <v>47</v>
      </c>
      <c r="J71" t="s">
        <v>27</v>
      </c>
    </row>
    <row r="72" spans="1:10" x14ac:dyDescent="0.25">
      <c r="A72">
        <v>72</v>
      </c>
      <c r="B72" s="1">
        <v>46346</v>
      </c>
      <c r="C72" t="s">
        <v>31</v>
      </c>
      <c r="D72" t="s">
        <v>47</v>
      </c>
      <c r="E72" t="s">
        <v>12</v>
      </c>
      <c r="F72" t="s">
        <v>13</v>
      </c>
      <c r="G72">
        <v>5</v>
      </c>
      <c r="H72">
        <v>250</v>
      </c>
      <c r="I72" t="s">
        <v>26</v>
      </c>
      <c r="J72" t="s">
        <v>37</v>
      </c>
    </row>
    <row r="73" spans="1:10" x14ac:dyDescent="0.25">
      <c r="A73">
        <v>73</v>
      </c>
      <c r="B73" s="1">
        <v>46337</v>
      </c>
      <c r="C73" t="s">
        <v>16</v>
      </c>
      <c r="D73" t="s">
        <v>32</v>
      </c>
      <c r="E73" t="s">
        <v>18</v>
      </c>
      <c r="F73" t="s">
        <v>13</v>
      </c>
      <c r="G73">
        <v>9</v>
      </c>
      <c r="H73">
        <v>1200</v>
      </c>
      <c r="I73" t="s">
        <v>35</v>
      </c>
      <c r="J73" t="s">
        <v>25</v>
      </c>
    </row>
    <row r="74" spans="1:10" x14ac:dyDescent="0.25">
      <c r="A74">
        <v>74</v>
      </c>
      <c r="B74" s="1">
        <v>46209</v>
      </c>
      <c r="C74" t="s">
        <v>36</v>
      </c>
      <c r="D74" t="s">
        <v>39</v>
      </c>
      <c r="E74" t="s">
        <v>12</v>
      </c>
      <c r="F74" t="s">
        <v>13</v>
      </c>
      <c r="G74">
        <v>3</v>
      </c>
      <c r="H74">
        <v>250</v>
      </c>
      <c r="I74" t="s">
        <v>22</v>
      </c>
      <c r="J74" t="s">
        <v>25</v>
      </c>
    </row>
    <row r="75" spans="1:10" x14ac:dyDescent="0.25">
      <c r="A75">
        <v>75</v>
      </c>
      <c r="B75" s="1">
        <v>46375</v>
      </c>
      <c r="C75" t="s">
        <v>10</v>
      </c>
      <c r="D75" t="s">
        <v>39</v>
      </c>
      <c r="E75" t="s">
        <v>44</v>
      </c>
      <c r="F75" t="s">
        <v>34</v>
      </c>
      <c r="G75">
        <v>7</v>
      </c>
      <c r="H75">
        <v>95</v>
      </c>
      <c r="I75" t="s">
        <v>19</v>
      </c>
      <c r="J75" t="s">
        <v>37</v>
      </c>
    </row>
    <row r="76" spans="1:10" x14ac:dyDescent="0.25">
      <c r="A76">
        <v>76</v>
      </c>
      <c r="B76" s="1">
        <v>46253</v>
      </c>
      <c r="C76" t="s">
        <v>41</v>
      </c>
      <c r="D76" t="s">
        <v>32</v>
      </c>
      <c r="E76" t="s">
        <v>44</v>
      </c>
      <c r="F76" t="s">
        <v>34</v>
      </c>
      <c r="G76">
        <v>4</v>
      </c>
      <c r="H76">
        <v>95</v>
      </c>
      <c r="I76" t="s">
        <v>35</v>
      </c>
      <c r="J76" t="s">
        <v>23</v>
      </c>
    </row>
    <row r="77" spans="1:10" x14ac:dyDescent="0.25">
      <c r="A77">
        <v>77</v>
      </c>
      <c r="B77" s="1">
        <v>46199</v>
      </c>
      <c r="C77" t="s">
        <v>10</v>
      </c>
      <c r="D77" t="s">
        <v>39</v>
      </c>
      <c r="E77" t="s">
        <v>44</v>
      </c>
      <c r="F77" t="s">
        <v>34</v>
      </c>
      <c r="G77">
        <v>4</v>
      </c>
      <c r="H77">
        <v>95</v>
      </c>
      <c r="I77" t="s">
        <v>35</v>
      </c>
      <c r="J77" t="s">
        <v>15</v>
      </c>
    </row>
    <row r="78" spans="1:10" x14ac:dyDescent="0.25">
      <c r="A78">
        <v>78</v>
      </c>
      <c r="B78" s="1">
        <v>46115</v>
      </c>
      <c r="C78" t="s">
        <v>43</v>
      </c>
      <c r="D78" t="s">
        <v>32</v>
      </c>
      <c r="E78" t="s">
        <v>18</v>
      </c>
      <c r="F78" t="s">
        <v>13</v>
      </c>
      <c r="G78">
        <v>9</v>
      </c>
      <c r="H78">
        <v>1200</v>
      </c>
      <c r="I78" t="s">
        <v>14</v>
      </c>
      <c r="J78" t="s">
        <v>25</v>
      </c>
    </row>
    <row r="79" spans="1:10" x14ac:dyDescent="0.25">
      <c r="A79">
        <v>79</v>
      </c>
      <c r="B79" s="1">
        <v>46260</v>
      </c>
      <c r="C79" t="s">
        <v>16</v>
      </c>
      <c r="D79" t="s">
        <v>17</v>
      </c>
      <c r="E79" t="s">
        <v>12</v>
      </c>
      <c r="F79" t="s">
        <v>13</v>
      </c>
      <c r="G79">
        <v>8</v>
      </c>
      <c r="H79">
        <v>250</v>
      </c>
      <c r="I79" t="s">
        <v>42</v>
      </c>
      <c r="J79" t="s">
        <v>37</v>
      </c>
    </row>
    <row r="80" spans="1:10" x14ac:dyDescent="0.25">
      <c r="A80">
        <v>80</v>
      </c>
      <c r="B80" s="1">
        <v>46189</v>
      </c>
      <c r="C80" t="s">
        <v>36</v>
      </c>
      <c r="D80" t="s">
        <v>47</v>
      </c>
      <c r="E80" t="s">
        <v>12</v>
      </c>
      <c r="F80" t="s">
        <v>13</v>
      </c>
      <c r="G80">
        <v>10</v>
      </c>
      <c r="H80">
        <v>250</v>
      </c>
      <c r="I80" t="s">
        <v>40</v>
      </c>
      <c r="J80" t="s">
        <v>37</v>
      </c>
    </row>
    <row r="81" spans="1:10" x14ac:dyDescent="0.25">
      <c r="A81">
        <v>81</v>
      </c>
      <c r="B81" s="4" t="s">
        <v>46</v>
      </c>
      <c r="C81" t="s">
        <v>10</v>
      </c>
      <c r="D81" t="s">
        <v>11</v>
      </c>
      <c r="E81" t="s">
        <v>33</v>
      </c>
      <c r="F81" t="s">
        <v>34</v>
      </c>
      <c r="G81">
        <v>8</v>
      </c>
      <c r="H81">
        <v>180</v>
      </c>
      <c r="I81" t="s">
        <v>19</v>
      </c>
      <c r="J81" t="s">
        <v>15</v>
      </c>
    </row>
    <row r="82" spans="1:10" x14ac:dyDescent="0.25">
      <c r="A82">
        <v>82</v>
      </c>
      <c r="B82" s="1">
        <v>46119</v>
      </c>
      <c r="C82" t="s">
        <v>20</v>
      </c>
      <c r="D82" t="s">
        <v>39</v>
      </c>
      <c r="E82" t="s">
        <v>12</v>
      </c>
      <c r="F82" t="s">
        <v>13</v>
      </c>
      <c r="G82">
        <v>3</v>
      </c>
      <c r="H82">
        <v>250</v>
      </c>
      <c r="I82" t="s">
        <v>40</v>
      </c>
      <c r="J82" t="s">
        <v>15</v>
      </c>
    </row>
    <row r="83" spans="1:10" x14ac:dyDescent="0.25">
      <c r="A83">
        <v>83</v>
      </c>
      <c r="B83" s="1">
        <v>46122</v>
      </c>
      <c r="C83" t="s">
        <v>43</v>
      </c>
      <c r="D83" t="s">
        <v>39</v>
      </c>
      <c r="E83" t="s">
        <v>33</v>
      </c>
      <c r="F83" t="s">
        <v>34</v>
      </c>
      <c r="G83">
        <v>2</v>
      </c>
      <c r="H83" s="4" t="s">
        <v>47</v>
      </c>
      <c r="I83" t="s">
        <v>40</v>
      </c>
      <c r="J83" t="s">
        <v>23</v>
      </c>
    </row>
    <row r="84" spans="1:10" x14ac:dyDescent="0.25">
      <c r="A84">
        <v>84</v>
      </c>
      <c r="B84" s="1">
        <v>46040</v>
      </c>
      <c r="C84" t="s">
        <v>10</v>
      </c>
      <c r="D84" t="s">
        <v>11</v>
      </c>
      <c r="E84" t="s">
        <v>33</v>
      </c>
      <c r="F84" t="s">
        <v>34</v>
      </c>
      <c r="G84">
        <v>1</v>
      </c>
      <c r="H84">
        <v>180</v>
      </c>
      <c r="I84" t="s">
        <v>19</v>
      </c>
      <c r="J84" t="s">
        <v>27</v>
      </c>
    </row>
    <row r="85" spans="1:10" x14ac:dyDescent="0.25">
      <c r="A85">
        <v>85</v>
      </c>
      <c r="B85" s="1">
        <v>46250</v>
      </c>
      <c r="C85" t="s">
        <v>20</v>
      </c>
      <c r="D85" t="s">
        <v>39</v>
      </c>
      <c r="E85" t="s">
        <v>29</v>
      </c>
      <c r="F85" t="s">
        <v>30</v>
      </c>
      <c r="G85">
        <v>5</v>
      </c>
      <c r="H85">
        <v>5</v>
      </c>
      <c r="I85" t="s">
        <v>22</v>
      </c>
      <c r="J85" t="s">
        <v>25</v>
      </c>
    </row>
    <row r="86" spans="1:10" x14ac:dyDescent="0.25">
      <c r="A86">
        <v>86</v>
      </c>
      <c r="B86" s="1">
        <v>46219</v>
      </c>
      <c r="C86" t="s">
        <v>31</v>
      </c>
      <c r="D86" t="s">
        <v>47</v>
      </c>
      <c r="E86" t="s">
        <v>18</v>
      </c>
      <c r="F86" t="s">
        <v>13</v>
      </c>
      <c r="G86">
        <v>2</v>
      </c>
      <c r="H86">
        <v>1200</v>
      </c>
      <c r="I86" t="s">
        <v>42</v>
      </c>
      <c r="J86" t="s">
        <v>15</v>
      </c>
    </row>
    <row r="87" spans="1:10" x14ac:dyDescent="0.25">
      <c r="A87">
        <v>87</v>
      </c>
      <c r="B87" s="1">
        <v>46116</v>
      </c>
      <c r="C87" t="s">
        <v>36</v>
      </c>
      <c r="D87" t="s">
        <v>32</v>
      </c>
      <c r="E87" t="s">
        <v>33</v>
      </c>
      <c r="F87" t="s">
        <v>34</v>
      </c>
      <c r="G87">
        <v>2</v>
      </c>
      <c r="H87">
        <v>180</v>
      </c>
      <c r="I87" t="s">
        <v>42</v>
      </c>
      <c r="J87" t="s">
        <v>15</v>
      </c>
    </row>
    <row r="88" spans="1:10" x14ac:dyDescent="0.25">
      <c r="A88">
        <v>88</v>
      </c>
      <c r="B88" s="1">
        <v>46244</v>
      </c>
      <c r="C88" t="s">
        <v>41</v>
      </c>
      <c r="D88" t="s">
        <v>32</v>
      </c>
      <c r="E88" t="s">
        <v>44</v>
      </c>
      <c r="F88" t="s">
        <v>34</v>
      </c>
      <c r="G88">
        <v>8</v>
      </c>
      <c r="H88">
        <v>95</v>
      </c>
      <c r="I88" t="s">
        <v>40</v>
      </c>
      <c r="J88" t="s">
        <v>27</v>
      </c>
    </row>
    <row r="89" spans="1:10" x14ac:dyDescent="0.25">
      <c r="A89">
        <v>89</v>
      </c>
      <c r="B89" s="1">
        <v>46164</v>
      </c>
      <c r="C89" t="s">
        <v>31</v>
      </c>
      <c r="D89" t="s">
        <v>11</v>
      </c>
      <c r="E89" t="s">
        <v>21</v>
      </c>
      <c r="F89" t="s">
        <v>13</v>
      </c>
      <c r="G89">
        <v>4</v>
      </c>
      <c r="H89">
        <v>25</v>
      </c>
      <c r="I89" t="s">
        <v>42</v>
      </c>
      <c r="J89" t="s">
        <v>27</v>
      </c>
    </row>
    <row r="90" spans="1:10" x14ac:dyDescent="0.25">
      <c r="A90">
        <v>90</v>
      </c>
      <c r="B90" s="1">
        <v>46376</v>
      </c>
      <c r="C90" t="s">
        <v>20</v>
      </c>
      <c r="D90" t="s">
        <v>39</v>
      </c>
      <c r="E90" t="s">
        <v>44</v>
      </c>
      <c r="F90" t="s">
        <v>34</v>
      </c>
      <c r="G90">
        <v>0</v>
      </c>
      <c r="H90">
        <v>95</v>
      </c>
      <c r="I90" t="s">
        <v>35</v>
      </c>
      <c r="J90" t="s">
        <v>25</v>
      </c>
    </row>
    <row r="91" spans="1:10" x14ac:dyDescent="0.25">
      <c r="A91">
        <v>91</v>
      </c>
      <c r="B91" s="1">
        <v>46168</v>
      </c>
      <c r="C91" t="s">
        <v>41</v>
      </c>
      <c r="D91" t="s">
        <v>11</v>
      </c>
      <c r="E91" t="s">
        <v>18</v>
      </c>
      <c r="F91" t="s">
        <v>13</v>
      </c>
      <c r="G91">
        <v>4</v>
      </c>
      <c r="H91">
        <v>1200</v>
      </c>
      <c r="I91" t="s">
        <v>14</v>
      </c>
      <c r="J91" t="s">
        <v>23</v>
      </c>
    </row>
    <row r="92" spans="1:10" x14ac:dyDescent="0.25">
      <c r="A92">
        <v>92</v>
      </c>
      <c r="B92" s="1">
        <v>46055</v>
      </c>
      <c r="C92" t="s">
        <v>24</v>
      </c>
      <c r="D92" t="s">
        <v>39</v>
      </c>
      <c r="E92" t="s">
        <v>33</v>
      </c>
      <c r="F92" t="s">
        <v>34</v>
      </c>
      <c r="G92">
        <v>3</v>
      </c>
      <c r="H92">
        <v>180</v>
      </c>
      <c r="I92" t="s">
        <v>35</v>
      </c>
      <c r="J92" t="s">
        <v>25</v>
      </c>
    </row>
    <row r="93" spans="1:10" x14ac:dyDescent="0.25">
      <c r="A93">
        <v>93</v>
      </c>
      <c r="B93" s="1">
        <v>46366</v>
      </c>
      <c r="C93" t="s">
        <v>38</v>
      </c>
      <c r="D93" t="s">
        <v>39</v>
      </c>
      <c r="E93" t="s">
        <v>18</v>
      </c>
      <c r="F93" t="s">
        <v>13</v>
      </c>
      <c r="G93">
        <v>8</v>
      </c>
      <c r="H93">
        <v>1200</v>
      </c>
      <c r="I93" t="s">
        <v>19</v>
      </c>
      <c r="J93" t="s">
        <v>15</v>
      </c>
    </row>
    <row r="94" spans="1:10" x14ac:dyDescent="0.25">
      <c r="A94">
        <v>94</v>
      </c>
      <c r="B94" s="1">
        <v>46367</v>
      </c>
      <c r="C94" t="s">
        <v>41</v>
      </c>
      <c r="D94" t="s">
        <v>39</v>
      </c>
      <c r="E94" t="s">
        <v>18</v>
      </c>
      <c r="F94" t="s">
        <v>13</v>
      </c>
      <c r="G94">
        <v>0</v>
      </c>
      <c r="H94">
        <v>1200</v>
      </c>
      <c r="I94" t="s">
        <v>14</v>
      </c>
      <c r="J94" t="s">
        <v>15</v>
      </c>
    </row>
    <row r="95" spans="1:10" x14ac:dyDescent="0.25">
      <c r="A95">
        <v>95</v>
      </c>
      <c r="B95" s="1">
        <v>46353</v>
      </c>
      <c r="C95" t="s">
        <v>10</v>
      </c>
      <c r="D95" t="s">
        <v>47</v>
      </c>
      <c r="E95" t="s">
        <v>29</v>
      </c>
      <c r="F95" t="s">
        <v>30</v>
      </c>
      <c r="G95">
        <v>0</v>
      </c>
      <c r="H95">
        <v>5</v>
      </c>
      <c r="I95" t="s">
        <v>26</v>
      </c>
      <c r="J95" t="s">
        <v>15</v>
      </c>
    </row>
    <row r="96" spans="1:10" x14ac:dyDescent="0.25">
      <c r="A96">
        <v>96</v>
      </c>
      <c r="B96" s="1">
        <v>46148</v>
      </c>
      <c r="C96" t="s">
        <v>41</v>
      </c>
      <c r="D96" t="s">
        <v>32</v>
      </c>
      <c r="E96" t="s">
        <v>12</v>
      </c>
      <c r="F96" t="s">
        <v>13</v>
      </c>
      <c r="G96">
        <v>8</v>
      </c>
      <c r="H96">
        <v>250</v>
      </c>
      <c r="I96" t="s">
        <v>19</v>
      </c>
      <c r="J96" t="s">
        <v>25</v>
      </c>
    </row>
    <row r="97" spans="1:10" x14ac:dyDescent="0.25">
      <c r="A97">
        <v>97</v>
      </c>
      <c r="B97" s="1">
        <v>46184</v>
      </c>
      <c r="C97" t="s">
        <v>31</v>
      </c>
      <c r="D97" t="s">
        <v>11</v>
      </c>
      <c r="E97" t="s">
        <v>33</v>
      </c>
      <c r="F97" t="s">
        <v>34</v>
      </c>
      <c r="G97">
        <v>7</v>
      </c>
      <c r="H97">
        <v>180</v>
      </c>
      <c r="I97" t="s">
        <v>35</v>
      </c>
      <c r="J97" t="s">
        <v>25</v>
      </c>
    </row>
    <row r="98" spans="1:10" x14ac:dyDescent="0.25">
      <c r="A98">
        <v>98</v>
      </c>
      <c r="B98" s="1">
        <v>46237</v>
      </c>
      <c r="C98" t="s">
        <v>28</v>
      </c>
      <c r="D98" t="s">
        <v>39</v>
      </c>
      <c r="E98" t="s">
        <v>29</v>
      </c>
      <c r="F98" t="s">
        <v>30</v>
      </c>
      <c r="G98">
        <v>1</v>
      </c>
      <c r="H98">
        <v>5</v>
      </c>
      <c r="I98" t="s">
        <v>26</v>
      </c>
      <c r="J98" t="s">
        <v>15</v>
      </c>
    </row>
    <row r="99" spans="1:10" x14ac:dyDescent="0.25">
      <c r="A99">
        <v>99</v>
      </c>
      <c r="B99" s="1">
        <v>46248</v>
      </c>
      <c r="C99" t="s">
        <v>16</v>
      </c>
      <c r="D99" t="s">
        <v>11</v>
      </c>
      <c r="E99" t="s">
        <v>18</v>
      </c>
      <c r="F99" t="s">
        <v>13</v>
      </c>
      <c r="G99">
        <v>9</v>
      </c>
      <c r="H99">
        <v>1200</v>
      </c>
      <c r="I99" t="s">
        <v>26</v>
      </c>
      <c r="J99" t="s">
        <v>25</v>
      </c>
    </row>
    <row r="100" spans="1:10" x14ac:dyDescent="0.25">
      <c r="A100">
        <v>100</v>
      </c>
      <c r="B100" s="1">
        <v>46160</v>
      </c>
      <c r="C100" t="s">
        <v>24</v>
      </c>
      <c r="D100" t="s">
        <v>39</v>
      </c>
      <c r="E100" t="s">
        <v>18</v>
      </c>
      <c r="F100" t="s">
        <v>13</v>
      </c>
      <c r="G100">
        <v>4</v>
      </c>
      <c r="H100">
        <v>1200</v>
      </c>
      <c r="I100" t="s">
        <v>19</v>
      </c>
      <c r="J100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>
      <selection activeCell="M108" sqref="M108"/>
    </sheetView>
  </sheetViews>
  <sheetFormatPr defaultRowHeight="15" x14ac:dyDescent="0.25"/>
  <cols>
    <col min="1" max="1" width="17.140625" style="5" customWidth="1"/>
    <col min="2" max="2" width="18.5703125" customWidth="1"/>
    <col min="3" max="3" width="22.85546875" customWidth="1"/>
    <col min="4" max="5" width="17.140625" customWidth="1"/>
    <col min="6" max="7" width="17" customWidth="1"/>
    <col min="8" max="9" width="17.140625" customWidth="1"/>
    <col min="10" max="10" width="19.42578125" customWidth="1"/>
    <col min="11" max="11" width="12.7109375" customWidth="1"/>
    <col min="12" max="12" width="13.42578125" customWidth="1"/>
  </cols>
  <sheetData>
    <row r="1" spans="1:12" x14ac:dyDescent="0.25">
      <c r="A1" s="19" t="s">
        <v>48</v>
      </c>
      <c r="B1" s="17" t="s">
        <v>49</v>
      </c>
      <c r="C1" s="17" t="s">
        <v>50</v>
      </c>
      <c r="D1" s="17" t="s">
        <v>51</v>
      </c>
      <c r="E1" s="17" t="s">
        <v>52</v>
      </c>
      <c r="F1" s="17" t="s">
        <v>53</v>
      </c>
      <c r="G1" s="17" t="s">
        <v>54</v>
      </c>
      <c r="H1" s="17" t="s">
        <v>55</v>
      </c>
      <c r="I1" s="17" t="s">
        <v>56</v>
      </c>
      <c r="J1" s="17" t="s">
        <v>57</v>
      </c>
      <c r="K1" s="17" t="s">
        <v>58</v>
      </c>
      <c r="L1" s="17" t="s">
        <v>153</v>
      </c>
    </row>
    <row r="2" spans="1:12" x14ac:dyDescent="0.25">
      <c r="A2" s="20">
        <v>1</v>
      </c>
      <c r="B2" s="10" t="s">
        <v>59</v>
      </c>
      <c r="C2" s="10" t="s">
        <v>10</v>
      </c>
      <c r="D2" s="10" t="s">
        <v>11</v>
      </c>
      <c r="E2" s="10" t="s">
        <v>12</v>
      </c>
      <c r="F2" s="10" t="s">
        <v>13</v>
      </c>
      <c r="G2" s="18">
        <v>2</v>
      </c>
      <c r="H2" s="10">
        <v>250</v>
      </c>
      <c r="I2" s="10" t="s">
        <v>14</v>
      </c>
      <c r="J2" s="10" t="s">
        <v>15</v>
      </c>
      <c r="K2" s="10">
        <v>500</v>
      </c>
      <c r="L2" s="10" t="s">
        <v>156</v>
      </c>
    </row>
    <row r="3" spans="1:12" x14ac:dyDescent="0.25">
      <c r="A3" s="20">
        <v>2</v>
      </c>
      <c r="B3" s="10" t="s">
        <v>60</v>
      </c>
      <c r="C3" s="10" t="s">
        <v>16</v>
      </c>
      <c r="D3" s="10" t="s">
        <v>17</v>
      </c>
      <c r="E3" s="10" t="s">
        <v>18</v>
      </c>
      <c r="F3" s="10" t="s">
        <v>13</v>
      </c>
      <c r="G3" s="10">
        <v>10</v>
      </c>
      <c r="H3" s="10">
        <v>1200</v>
      </c>
      <c r="I3" s="10" t="s">
        <v>19</v>
      </c>
      <c r="J3" s="10" t="s">
        <v>15</v>
      </c>
      <c r="K3" s="10">
        <v>12000</v>
      </c>
      <c r="L3" s="10" t="s">
        <v>156</v>
      </c>
    </row>
    <row r="4" spans="1:12" x14ac:dyDescent="0.25">
      <c r="A4" s="20">
        <v>3</v>
      </c>
      <c r="B4" s="10" t="s">
        <v>61</v>
      </c>
      <c r="C4" s="10" t="s">
        <v>20</v>
      </c>
      <c r="D4" s="10" t="s">
        <v>47</v>
      </c>
      <c r="E4" s="10" t="s">
        <v>21</v>
      </c>
      <c r="F4" s="10" t="s">
        <v>13</v>
      </c>
      <c r="G4" s="10">
        <v>9</v>
      </c>
      <c r="H4" s="10">
        <v>25</v>
      </c>
      <c r="I4" s="10" t="s">
        <v>154</v>
      </c>
      <c r="J4" s="10" t="s">
        <v>23</v>
      </c>
      <c r="K4" s="10">
        <v>225</v>
      </c>
      <c r="L4" s="10" t="s">
        <v>157</v>
      </c>
    </row>
    <row r="5" spans="1:12" x14ac:dyDescent="0.25">
      <c r="A5" s="20">
        <v>4</v>
      </c>
      <c r="B5" s="10" t="s">
        <v>62</v>
      </c>
      <c r="C5" s="10" t="s">
        <v>24</v>
      </c>
      <c r="D5" s="10" t="s">
        <v>11</v>
      </c>
      <c r="E5" s="10" t="s">
        <v>12</v>
      </c>
      <c r="F5" s="10" t="s">
        <v>13</v>
      </c>
      <c r="G5" s="10">
        <v>7</v>
      </c>
      <c r="H5" s="10">
        <v>250</v>
      </c>
      <c r="I5" s="10" t="s">
        <v>19</v>
      </c>
      <c r="J5" s="10" t="s">
        <v>25</v>
      </c>
      <c r="K5" s="10">
        <v>1750</v>
      </c>
      <c r="L5" s="10" t="s">
        <v>156</v>
      </c>
    </row>
    <row r="6" spans="1:12" x14ac:dyDescent="0.25">
      <c r="A6" s="20">
        <v>5</v>
      </c>
      <c r="B6" s="10" t="s">
        <v>63</v>
      </c>
      <c r="C6" s="10" t="s">
        <v>10</v>
      </c>
      <c r="D6" s="10" t="s">
        <v>17</v>
      </c>
      <c r="E6" s="10" t="s">
        <v>18</v>
      </c>
      <c r="F6" s="10" t="s">
        <v>13</v>
      </c>
      <c r="G6" s="10">
        <v>6</v>
      </c>
      <c r="H6" s="10">
        <v>1200</v>
      </c>
      <c r="I6" s="10" t="s">
        <v>26</v>
      </c>
      <c r="J6" s="10" t="s">
        <v>27</v>
      </c>
      <c r="K6" s="10">
        <v>7200</v>
      </c>
      <c r="L6" s="10" t="s">
        <v>156</v>
      </c>
    </row>
    <row r="7" spans="1:12" x14ac:dyDescent="0.25">
      <c r="A7" s="20">
        <v>6</v>
      </c>
      <c r="B7" s="10" t="s">
        <v>64</v>
      </c>
      <c r="C7" s="10" t="s">
        <v>28</v>
      </c>
      <c r="D7" s="10" t="s">
        <v>47</v>
      </c>
      <c r="E7" s="10" t="s">
        <v>29</v>
      </c>
      <c r="F7" s="10" t="s">
        <v>30</v>
      </c>
      <c r="G7" s="10">
        <v>5</v>
      </c>
      <c r="H7" s="10">
        <v>5</v>
      </c>
      <c r="I7" s="10" t="s">
        <v>14</v>
      </c>
      <c r="J7" s="10" t="s">
        <v>23</v>
      </c>
      <c r="K7" s="10">
        <v>25</v>
      </c>
      <c r="L7" s="10" t="s">
        <v>157</v>
      </c>
    </row>
    <row r="8" spans="1:12" x14ac:dyDescent="0.25">
      <c r="A8" s="20">
        <v>7</v>
      </c>
      <c r="B8" s="10" t="s">
        <v>65</v>
      </c>
      <c r="C8" s="10" t="s">
        <v>158</v>
      </c>
      <c r="D8" s="10" t="s">
        <v>11</v>
      </c>
      <c r="E8" s="10" t="s">
        <v>33</v>
      </c>
      <c r="F8" s="10" t="s">
        <v>34</v>
      </c>
      <c r="G8" s="10">
        <v>2</v>
      </c>
      <c r="H8" s="10">
        <v>180</v>
      </c>
      <c r="I8" s="10" t="s">
        <v>35</v>
      </c>
      <c r="J8" s="10" t="s">
        <v>23</v>
      </c>
      <c r="K8" s="10">
        <v>360</v>
      </c>
      <c r="L8" s="10" t="s">
        <v>157</v>
      </c>
    </row>
    <row r="9" spans="1:12" x14ac:dyDescent="0.25">
      <c r="A9" s="20">
        <v>8</v>
      </c>
      <c r="B9" s="10" t="s">
        <v>66</v>
      </c>
      <c r="C9" s="10" t="s">
        <v>10</v>
      </c>
      <c r="D9" s="10" t="s">
        <v>17</v>
      </c>
      <c r="E9" s="10" t="s">
        <v>33</v>
      </c>
      <c r="F9" s="10" t="s">
        <v>34</v>
      </c>
      <c r="G9" s="10">
        <v>6</v>
      </c>
      <c r="H9" s="10">
        <v>180</v>
      </c>
      <c r="I9" s="10" t="s">
        <v>14</v>
      </c>
      <c r="J9" s="10" t="s">
        <v>23</v>
      </c>
      <c r="K9" s="10">
        <v>1080</v>
      </c>
      <c r="L9" s="10" t="s">
        <v>156</v>
      </c>
    </row>
    <row r="10" spans="1:12" x14ac:dyDescent="0.25">
      <c r="A10" s="20">
        <v>9</v>
      </c>
      <c r="B10" s="10" t="s">
        <v>67</v>
      </c>
      <c r="C10" s="10" t="s">
        <v>36</v>
      </c>
      <c r="D10" s="10" t="s">
        <v>11</v>
      </c>
      <c r="E10" s="10" t="s">
        <v>21</v>
      </c>
      <c r="F10" s="10" t="s">
        <v>13</v>
      </c>
      <c r="G10" s="10">
        <v>8</v>
      </c>
      <c r="H10" s="10">
        <v>25</v>
      </c>
      <c r="I10" s="10" t="s">
        <v>154</v>
      </c>
      <c r="J10" s="10" t="s">
        <v>27</v>
      </c>
      <c r="K10" s="10">
        <v>200</v>
      </c>
      <c r="L10" s="10" t="s">
        <v>157</v>
      </c>
    </row>
    <row r="11" spans="1:12" x14ac:dyDescent="0.25">
      <c r="A11" s="20">
        <v>10</v>
      </c>
      <c r="B11" s="10" t="s">
        <v>68</v>
      </c>
      <c r="C11" s="10" t="s">
        <v>10</v>
      </c>
      <c r="D11" s="10" t="s">
        <v>17</v>
      </c>
      <c r="E11" s="10" t="s">
        <v>21</v>
      </c>
      <c r="F11" s="10" t="s">
        <v>13</v>
      </c>
      <c r="G11" s="10">
        <v>1</v>
      </c>
      <c r="H11" s="10">
        <v>25</v>
      </c>
      <c r="I11" s="10" t="s">
        <v>14</v>
      </c>
      <c r="J11" s="10" t="s">
        <v>37</v>
      </c>
      <c r="K11" s="10">
        <v>25</v>
      </c>
      <c r="L11" s="10" t="s">
        <v>157</v>
      </c>
    </row>
    <row r="12" spans="1:12" x14ac:dyDescent="0.25">
      <c r="A12" s="20">
        <v>12</v>
      </c>
      <c r="B12" s="10" t="s">
        <v>69</v>
      </c>
      <c r="C12" s="10" t="s">
        <v>38</v>
      </c>
      <c r="D12" s="10" t="s">
        <v>17</v>
      </c>
      <c r="E12" s="10" t="s">
        <v>33</v>
      </c>
      <c r="F12" s="10" t="s">
        <v>34</v>
      </c>
      <c r="G12" s="10">
        <v>10</v>
      </c>
      <c r="H12" s="10">
        <v>180</v>
      </c>
      <c r="I12" s="10" t="s">
        <v>40</v>
      </c>
      <c r="J12" s="10" t="s">
        <v>25</v>
      </c>
      <c r="K12" s="10">
        <v>1800</v>
      </c>
      <c r="L12" s="10" t="s">
        <v>156</v>
      </c>
    </row>
    <row r="13" spans="1:12" x14ac:dyDescent="0.25">
      <c r="A13" s="20">
        <v>13</v>
      </c>
      <c r="B13" s="10" t="s">
        <v>70</v>
      </c>
      <c r="C13" s="10" t="s">
        <v>24</v>
      </c>
      <c r="D13" s="10" t="s">
        <v>11</v>
      </c>
      <c r="E13" s="10" t="s">
        <v>18</v>
      </c>
      <c r="F13" s="10" t="s">
        <v>13</v>
      </c>
      <c r="G13" s="10">
        <v>1</v>
      </c>
      <c r="H13" s="10">
        <v>1200</v>
      </c>
      <c r="I13" s="10" t="s">
        <v>40</v>
      </c>
      <c r="J13" s="10" t="s">
        <v>25</v>
      </c>
      <c r="K13" s="10">
        <v>1200</v>
      </c>
      <c r="L13" s="10" t="s">
        <v>156</v>
      </c>
    </row>
    <row r="14" spans="1:12" x14ac:dyDescent="0.25">
      <c r="A14" s="20">
        <v>14</v>
      </c>
      <c r="B14" s="10" t="s">
        <v>71</v>
      </c>
      <c r="C14" s="10" t="s">
        <v>16</v>
      </c>
      <c r="D14" s="10" t="s">
        <v>17</v>
      </c>
      <c r="E14" s="10" t="s">
        <v>29</v>
      </c>
      <c r="F14" s="10" t="s">
        <v>30</v>
      </c>
      <c r="G14" s="10">
        <v>5</v>
      </c>
      <c r="H14" s="10">
        <v>5</v>
      </c>
      <c r="I14" s="10" t="s">
        <v>35</v>
      </c>
      <c r="J14" s="10" t="s">
        <v>37</v>
      </c>
      <c r="K14" s="10">
        <v>25</v>
      </c>
      <c r="L14" s="10" t="s">
        <v>157</v>
      </c>
    </row>
    <row r="15" spans="1:12" x14ac:dyDescent="0.25">
      <c r="A15" s="20">
        <v>15</v>
      </c>
      <c r="B15" s="10" t="s">
        <v>72</v>
      </c>
      <c r="C15" s="10" t="s">
        <v>20</v>
      </c>
      <c r="D15" s="10" t="s">
        <v>17</v>
      </c>
      <c r="E15" s="10" t="s">
        <v>18</v>
      </c>
      <c r="F15" s="10" t="s">
        <v>13</v>
      </c>
      <c r="G15" s="10">
        <v>5</v>
      </c>
      <c r="H15" s="10">
        <v>1200</v>
      </c>
      <c r="I15" s="10" t="s">
        <v>35</v>
      </c>
      <c r="J15" s="10" t="s">
        <v>15</v>
      </c>
      <c r="K15" s="10">
        <v>6000</v>
      </c>
      <c r="L15" s="10" t="s">
        <v>156</v>
      </c>
    </row>
    <row r="16" spans="1:12" x14ac:dyDescent="0.25">
      <c r="A16" s="20">
        <v>16</v>
      </c>
      <c r="B16" s="10" t="s">
        <v>73</v>
      </c>
      <c r="C16" s="10" t="s">
        <v>10</v>
      </c>
      <c r="D16" s="10" t="s">
        <v>47</v>
      </c>
      <c r="E16" s="10" t="s">
        <v>21</v>
      </c>
      <c r="F16" s="10" t="s">
        <v>13</v>
      </c>
      <c r="G16" s="10">
        <v>9</v>
      </c>
      <c r="H16" s="10">
        <v>25</v>
      </c>
      <c r="I16" s="10" t="s">
        <v>154</v>
      </c>
      <c r="J16" s="10" t="s">
        <v>23</v>
      </c>
      <c r="K16" s="10">
        <v>225</v>
      </c>
      <c r="L16" s="10" t="s">
        <v>157</v>
      </c>
    </row>
    <row r="17" spans="1:12" x14ac:dyDescent="0.25">
      <c r="A17" s="20">
        <v>17</v>
      </c>
      <c r="B17" s="10" t="s">
        <v>74</v>
      </c>
      <c r="C17" s="10" t="s">
        <v>28</v>
      </c>
      <c r="D17" s="10" t="s">
        <v>11</v>
      </c>
      <c r="E17" s="10" t="s">
        <v>29</v>
      </c>
      <c r="F17" s="10" t="s">
        <v>30</v>
      </c>
      <c r="G17" s="10">
        <v>0</v>
      </c>
      <c r="H17" s="10">
        <v>5</v>
      </c>
      <c r="I17" s="10" t="s">
        <v>154</v>
      </c>
      <c r="J17" s="10" t="s">
        <v>37</v>
      </c>
      <c r="K17" s="10">
        <v>0</v>
      </c>
      <c r="L17" s="10" t="s">
        <v>157</v>
      </c>
    </row>
    <row r="18" spans="1:12" x14ac:dyDescent="0.25">
      <c r="A18" s="20">
        <v>18</v>
      </c>
      <c r="B18" s="10" t="s">
        <v>75</v>
      </c>
      <c r="C18" s="10" t="s">
        <v>158</v>
      </c>
      <c r="D18" s="10" t="s">
        <v>17</v>
      </c>
      <c r="E18" s="10" t="s">
        <v>21</v>
      </c>
      <c r="F18" s="10" t="s">
        <v>13</v>
      </c>
      <c r="G18" s="10">
        <v>1</v>
      </c>
      <c r="H18" s="10">
        <v>25</v>
      </c>
      <c r="I18" s="10" t="s">
        <v>154</v>
      </c>
      <c r="J18" s="10" t="s">
        <v>15</v>
      </c>
      <c r="K18" s="10">
        <v>25</v>
      </c>
      <c r="L18" s="10" t="s">
        <v>157</v>
      </c>
    </row>
    <row r="19" spans="1:12" x14ac:dyDescent="0.25">
      <c r="A19" s="20">
        <v>19</v>
      </c>
      <c r="B19" s="10" t="s">
        <v>76</v>
      </c>
      <c r="C19" s="10" t="s">
        <v>36</v>
      </c>
      <c r="D19" s="10" t="s">
        <v>11</v>
      </c>
      <c r="E19" s="10" t="s">
        <v>21</v>
      </c>
      <c r="F19" s="10" t="s">
        <v>13</v>
      </c>
      <c r="G19" s="10">
        <v>3</v>
      </c>
      <c r="H19" s="10">
        <v>25</v>
      </c>
      <c r="I19" s="10" t="s">
        <v>26</v>
      </c>
      <c r="J19" s="10" t="s">
        <v>23</v>
      </c>
      <c r="K19" s="10">
        <v>75</v>
      </c>
      <c r="L19" s="10" t="s">
        <v>157</v>
      </c>
    </row>
    <row r="20" spans="1:12" x14ac:dyDescent="0.25">
      <c r="A20" s="20">
        <v>20</v>
      </c>
      <c r="B20" s="10" t="s">
        <v>77</v>
      </c>
      <c r="C20" s="10" t="s">
        <v>38</v>
      </c>
      <c r="D20" s="10" t="s">
        <v>17</v>
      </c>
      <c r="E20" s="10" t="s">
        <v>29</v>
      </c>
      <c r="F20" s="10" t="s">
        <v>30</v>
      </c>
      <c r="G20" s="10">
        <v>4</v>
      </c>
      <c r="H20" s="10">
        <v>5</v>
      </c>
      <c r="I20" s="10" t="s">
        <v>19</v>
      </c>
      <c r="J20" s="10" t="s">
        <v>23</v>
      </c>
      <c r="K20" s="10">
        <v>20</v>
      </c>
      <c r="L20" s="10" t="s">
        <v>157</v>
      </c>
    </row>
    <row r="21" spans="1:12" x14ac:dyDescent="0.25">
      <c r="A21" s="20">
        <v>21</v>
      </c>
      <c r="B21" s="10" t="s">
        <v>78</v>
      </c>
      <c r="C21" s="10" t="s">
        <v>41</v>
      </c>
      <c r="D21" s="10" t="s">
        <v>47</v>
      </c>
      <c r="E21" s="10" t="s">
        <v>21</v>
      </c>
      <c r="F21" s="10" t="s">
        <v>13</v>
      </c>
      <c r="G21" s="10">
        <v>2</v>
      </c>
      <c r="H21" s="10">
        <v>25</v>
      </c>
      <c r="I21" s="10" t="s">
        <v>19</v>
      </c>
      <c r="J21" s="10" t="s">
        <v>27</v>
      </c>
      <c r="K21" s="10">
        <v>50</v>
      </c>
      <c r="L21" s="10" t="s">
        <v>157</v>
      </c>
    </row>
    <row r="22" spans="1:12" x14ac:dyDescent="0.25">
      <c r="A22" s="20">
        <v>22</v>
      </c>
      <c r="B22" s="10" t="s">
        <v>79</v>
      </c>
      <c r="C22" s="10" t="s">
        <v>28</v>
      </c>
      <c r="D22" s="10" t="s">
        <v>17</v>
      </c>
      <c r="E22" s="10" t="s">
        <v>21</v>
      </c>
      <c r="F22" s="10" t="s">
        <v>13</v>
      </c>
      <c r="G22" s="10">
        <v>2</v>
      </c>
      <c r="H22" s="10">
        <v>25</v>
      </c>
      <c r="I22" s="10" t="s">
        <v>26</v>
      </c>
      <c r="J22" s="10" t="s">
        <v>23</v>
      </c>
      <c r="K22" s="10">
        <v>50</v>
      </c>
      <c r="L22" s="10" t="s">
        <v>157</v>
      </c>
    </row>
    <row r="23" spans="1:12" x14ac:dyDescent="0.25">
      <c r="A23" s="20">
        <v>23</v>
      </c>
      <c r="B23" s="10" t="s">
        <v>80</v>
      </c>
      <c r="C23" s="10" t="s">
        <v>41</v>
      </c>
      <c r="D23" s="10" t="s">
        <v>11</v>
      </c>
      <c r="E23" s="10" t="s">
        <v>29</v>
      </c>
      <c r="F23" s="10" t="s">
        <v>30</v>
      </c>
      <c r="G23" s="10">
        <v>3</v>
      </c>
      <c r="H23" s="10">
        <v>5</v>
      </c>
      <c r="I23" s="10" t="s">
        <v>26</v>
      </c>
      <c r="J23" s="10" t="s">
        <v>23</v>
      </c>
      <c r="K23" s="10">
        <v>15</v>
      </c>
      <c r="L23" s="10" t="s">
        <v>157</v>
      </c>
    </row>
    <row r="24" spans="1:12" x14ac:dyDescent="0.25">
      <c r="A24" s="20">
        <v>24</v>
      </c>
      <c r="B24" s="10" t="s">
        <v>81</v>
      </c>
      <c r="C24" s="10" t="s">
        <v>28</v>
      </c>
      <c r="D24" s="10" t="s">
        <v>11</v>
      </c>
      <c r="E24" s="10" t="s">
        <v>18</v>
      </c>
      <c r="F24" s="10" t="s">
        <v>13</v>
      </c>
      <c r="G24" s="10">
        <v>2</v>
      </c>
      <c r="H24" s="10">
        <v>1200</v>
      </c>
      <c r="I24" s="10" t="s">
        <v>19</v>
      </c>
      <c r="J24" s="10" t="s">
        <v>27</v>
      </c>
      <c r="K24" s="10">
        <v>2400</v>
      </c>
      <c r="L24" s="10" t="s">
        <v>156</v>
      </c>
    </row>
    <row r="25" spans="1:12" x14ac:dyDescent="0.25">
      <c r="A25" s="20">
        <v>25</v>
      </c>
      <c r="B25" s="10" t="s">
        <v>82</v>
      </c>
      <c r="C25" s="10" t="s">
        <v>158</v>
      </c>
      <c r="D25" s="10" t="s">
        <v>11</v>
      </c>
      <c r="E25" s="10" t="s">
        <v>18</v>
      </c>
      <c r="F25" s="10" t="s">
        <v>13</v>
      </c>
      <c r="G25" s="10">
        <v>7</v>
      </c>
      <c r="H25" s="10">
        <v>1200</v>
      </c>
      <c r="I25" s="10" t="s">
        <v>42</v>
      </c>
      <c r="J25" s="10" t="s">
        <v>25</v>
      </c>
      <c r="K25" s="10">
        <v>8400</v>
      </c>
      <c r="L25" s="10" t="s">
        <v>156</v>
      </c>
    </row>
    <row r="26" spans="1:12" x14ac:dyDescent="0.25">
      <c r="A26" s="20">
        <v>26</v>
      </c>
      <c r="B26" s="10" t="s">
        <v>83</v>
      </c>
      <c r="C26" s="10" t="s">
        <v>158</v>
      </c>
      <c r="D26" s="10" t="s">
        <v>11</v>
      </c>
      <c r="E26" s="10" t="s">
        <v>21</v>
      </c>
      <c r="F26" s="10" t="s">
        <v>13</v>
      </c>
      <c r="G26" s="10">
        <v>5</v>
      </c>
      <c r="H26" s="10">
        <v>25</v>
      </c>
      <c r="I26" s="10" t="s">
        <v>19</v>
      </c>
      <c r="J26" s="10" t="s">
        <v>27</v>
      </c>
      <c r="K26" s="10">
        <v>125</v>
      </c>
      <c r="L26" s="10" t="s">
        <v>157</v>
      </c>
    </row>
    <row r="27" spans="1:12" x14ac:dyDescent="0.25">
      <c r="A27" s="20">
        <v>27</v>
      </c>
      <c r="B27" s="10" t="s">
        <v>84</v>
      </c>
      <c r="C27" s="10" t="s">
        <v>43</v>
      </c>
      <c r="D27" s="10" t="s">
        <v>11</v>
      </c>
      <c r="E27" s="10" t="s">
        <v>12</v>
      </c>
      <c r="F27" s="10" t="s">
        <v>13</v>
      </c>
      <c r="G27" s="10">
        <v>9</v>
      </c>
      <c r="H27" s="10">
        <v>250</v>
      </c>
      <c r="I27" s="10" t="s">
        <v>154</v>
      </c>
      <c r="J27" s="10" t="s">
        <v>25</v>
      </c>
      <c r="K27" s="10">
        <v>2250</v>
      </c>
      <c r="L27" s="10" t="s">
        <v>156</v>
      </c>
    </row>
    <row r="28" spans="1:12" x14ac:dyDescent="0.25">
      <c r="A28" s="20">
        <v>28</v>
      </c>
      <c r="B28" s="10" t="s">
        <v>85</v>
      </c>
      <c r="C28" s="10" t="s">
        <v>38</v>
      </c>
      <c r="D28" s="10" t="s">
        <v>17</v>
      </c>
      <c r="E28" s="10" t="s">
        <v>18</v>
      </c>
      <c r="F28" s="10" t="s">
        <v>13</v>
      </c>
      <c r="G28" s="10">
        <v>3</v>
      </c>
      <c r="H28" s="10">
        <v>1200</v>
      </c>
      <c r="I28" s="10" t="s">
        <v>35</v>
      </c>
      <c r="J28" s="10" t="s">
        <v>25</v>
      </c>
      <c r="K28" s="10">
        <v>3600</v>
      </c>
      <c r="L28" s="10" t="s">
        <v>156</v>
      </c>
    </row>
    <row r="29" spans="1:12" x14ac:dyDescent="0.25">
      <c r="A29" s="20">
        <v>29</v>
      </c>
      <c r="B29" s="10" t="s">
        <v>86</v>
      </c>
      <c r="C29" s="10" t="s">
        <v>20</v>
      </c>
      <c r="D29" s="10" t="s">
        <v>11</v>
      </c>
      <c r="E29" s="10" t="s">
        <v>12</v>
      </c>
      <c r="F29" s="10" t="s">
        <v>13</v>
      </c>
      <c r="G29" s="10">
        <v>9</v>
      </c>
      <c r="H29" s="10">
        <v>250</v>
      </c>
      <c r="I29" s="10" t="s">
        <v>19</v>
      </c>
      <c r="J29" s="10" t="s">
        <v>15</v>
      </c>
      <c r="K29" s="10">
        <v>2250</v>
      </c>
      <c r="L29" s="10" t="s">
        <v>156</v>
      </c>
    </row>
    <row r="30" spans="1:12" x14ac:dyDescent="0.25">
      <c r="A30" s="20">
        <v>30</v>
      </c>
      <c r="B30" s="10" t="s">
        <v>59</v>
      </c>
      <c r="C30" s="10" t="s">
        <v>28</v>
      </c>
      <c r="D30" s="10" t="s">
        <v>17</v>
      </c>
      <c r="E30" s="10" t="s">
        <v>12</v>
      </c>
      <c r="F30" s="10" t="s">
        <v>13</v>
      </c>
      <c r="G30" s="10">
        <v>9</v>
      </c>
      <c r="H30" s="10">
        <v>250</v>
      </c>
      <c r="I30" s="10" t="s">
        <v>154</v>
      </c>
      <c r="J30" s="10" t="s">
        <v>15</v>
      </c>
      <c r="K30" s="10">
        <v>2250</v>
      </c>
      <c r="L30" s="10" t="s">
        <v>156</v>
      </c>
    </row>
    <row r="31" spans="1:12" x14ac:dyDescent="0.25">
      <c r="A31" s="20">
        <v>31</v>
      </c>
      <c r="B31" s="10" t="s">
        <v>87</v>
      </c>
      <c r="C31" s="10" t="s">
        <v>24</v>
      </c>
      <c r="D31" s="10" t="s">
        <v>17</v>
      </c>
      <c r="E31" s="10" t="s">
        <v>21</v>
      </c>
      <c r="F31" s="10" t="s">
        <v>13</v>
      </c>
      <c r="G31" s="10">
        <v>1</v>
      </c>
      <c r="H31" s="10">
        <v>25</v>
      </c>
      <c r="I31" s="10" t="s">
        <v>42</v>
      </c>
      <c r="J31" s="10" t="s">
        <v>25</v>
      </c>
      <c r="K31" s="10">
        <v>25</v>
      </c>
      <c r="L31" s="10" t="s">
        <v>157</v>
      </c>
    </row>
    <row r="32" spans="1:12" x14ac:dyDescent="0.25">
      <c r="A32" s="20">
        <v>32</v>
      </c>
      <c r="B32" s="10" t="s">
        <v>75</v>
      </c>
      <c r="C32" s="10" t="s">
        <v>41</v>
      </c>
      <c r="D32" s="10" t="s">
        <v>17</v>
      </c>
      <c r="E32" s="10" t="s">
        <v>18</v>
      </c>
      <c r="F32" s="10" t="s">
        <v>13</v>
      </c>
      <c r="G32" s="10">
        <v>10</v>
      </c>
      <c r="H32" s="10">
        <v>1200</v>
      </c>
      <c r="I32" s="10" t="s">
        <v>40</v>
      </c>
      <c r="J32" s="10" t="s">
        <v>15</v>
      </c>
      <c r="K32" s="10">
        <v>12000</v>
      </c>
      <c r="L32" s="10" t="s">
        <v>156</v>
      </c>
    </row>
    <row r="33" spans="1:12" x14ac:dyDescent="0.25">
      <c r="A33" s="20">
        <v>33</v>
      </c>
      <c r="B33" s="10" t="s">
        <v>88</v>
      </c>
      <c r="C33" s="10" t="s">
        <v>28</v>
      </c>
      <c r="D33" s="10" t="s">
        <v>11</v>
      </c>
      <c r="E33" s="10" t="s">
        <v>29</v>
      </c>
      <c r="F33" s="10" t="s">
        <v>30</v>
      </c>
      <c r="G33" s="10">
        <v>6</v>
      </c>
      <c r="H33" s="10">
        <v>5</v>
      </c>
      <c r="I33" s="10" t="s">
        <v>14</v>
      </c>
      <c r="J33" s="10" t="s">
        <v>37</v>
      </c>
      <c r="K33" s="10">
        <v>30</v>
      </c>
      <c r="L33" s="10" t="s">
        <v>157</v>
      </c>
    </row>
    <row r="34" spans="1:12" x14ac:dyDescent="0.25">
      <c r="A34" s="20">
        <v>34</v>
      </c>
      <c r="B34" s="10" t="s">
        <v>89</v>
      </c>
      <c r="C34" s="10" t="s">
        <v>20</v>
      </c>
      <c r="D34" s="10" t="s">
        <v>47</v>
      </c>
      <c r="E34" s="10" t="s">
        <v>44</v>
      </c>
      <c r="F34" s="10" t="s">
        <v>34</v>
      </c>
      <c r="G34" s="10">
        <v>6</v>
      </c>
      <c r="H34" s="10">
        <v>95</v>
      </c>
      <c r="I34" s="10" t="s">
        <v>19</v>
      </c>
      <c r="J34" s="10" t="s">
        <v>15</v>
      </c>
      <c r="K34" s="10">
        <v>570</v>
      </c>
      <c r="L34" s="10" t="s">
        <v>156</v>
      </c>
    </row>
    <row r="35" spans="1:12" x14ac:dyDescent="0.25">
      <c r="A35" s="20">
        <v>35</v>
      </c>
      <c r="B35" s="10" t="s">
        <v>90</v>
      </c>
      <c r="C35" s="10" t="s">
        <v>28</v>
      </c>
      <c r="D35" s="10" t="s">
        <v>17</v>
      </c>
      <c r="E35" s="10" t="s">
        <v>21</v>
      </c>
      <c r="F35" s="10" t="s">
        <v>13</v>
      </c>
      <c r="G35" s="10">
        <v>9</v>
      </c>
      <c r="H35" s="10">
        <v>25</v>
      </c>
      <c r="I35" s="10" t="s">
        <v>42</v>
      </c>
      <c r="J35" s="10" t="s">
        <v>25</v>
      </c>
      <c r="K35" s="10">
        <v>225</v>
      </c>
      <c r="L35" s="10" t="s">
        <v>157</v>
      </c>
    </row>
    <row r="36" spans="1:12" x14ac:dyDescent="0.25">
      <c r="A36" s="20">
        <v>36</v>
      </c>
      <c r="B36" s="10" t="s">
        <v>91</v>
      </c>
      <c r="C36" s="10" t="s">
        <v>36</v>
      </c>
      <c r="D36" s="10" t="s">
        <v>17</v>
      </c>
      <c r="E36" s="10" t="s">
        <v>29</v>
      </c>
      <c r="F36" s="10" t="s">
        <v>30</v>
      </c>
      <c r="G36" s="10">
        <v>5</v>
      </c>
      <c r="H36" s="10">
        <v>5</v>
      </c>
      <c r="I36" s="10" t="s">
        <v>14</v>
      </c>
      <c r="J36" s="10" t="s">
        <v>27</v>
      </c>
      <c r="K36" s="10">
        <v>25</v>
      </c>
      <c r="L36" s="10" t="s">
        <v>157</v>
      </c>
    </row>
    <row r="37" spans="1:12" x14ac:dyDescent="0.25">
      <c r="A37" s="20">
        <v>37</v>
      </c>
      <c r="B37" s="10" t="s">
        <v>92</v>
      </c>
      <c r="C37" s="10" t="s">
        <v>36</v>
      </c>
      <c r="D37" s="10" t="s">
        <v>11</v>
      </c>
      <c r="E37" s="10" t="s">
        <v>21</v>
      </c>
      <c r="F37" s="10" t="s">
        <v>13</v>
      </c>
      <c r="G37" s="10">
        <v>5</v>
      </c>
      <c r="H37" s="10">
        <v>25</v>
      </c>
      <c r="I37" s="10" t="s">
        <v>14</v>
      </c>
      <c r="J37" s="10" t="s">
        <v>37</v>
      </c>
      <c r="K37" s="10">
        <v>125</v>
      </c>
      <c r="L37" s="10" t="s">
        <v>157</v>
      </c>
    </row>
    <row r="38" spans="1:12" x14ac:dyDescent="0.25">
      <c r="A38" s="20">
        <v>38</v>
      </c>
      <c r="B38" s="10" t="s">
        <v>93</v>
      </c>
      <c r="C38" s="10" t="s">
        <v>10</v>
      </c>
      <c r="D38" s="10" t="s">
        <v>17</v>
      </c>
      <c r="E38" s="10" t="s">
        <v>21</v>
      </c>
      <c r="F38" s="10" t="s">
        <v>13</v>
      </c>
      <c r="G38" s="10">
        <v>5</v>
      </c>
      <c r="H38" s="10">
        <v>25</v>
      </c>
      <c r="I38" s="10" t="s">
        <v>35</v>
      </c>
      <c r="J38" s="10" t="s">
        <v>27</v>
      </c>
      <c r="K38" s="10">
        <v>125</v>
      </c>
      <c r="L38" s="10" t="s">
        <v>157</v>
      </c>
    </row>
    <row r="39" spans="1:12" x14ac:dyDescent="0.25">
      <c r="A39" s="20">
        <v>39</v>
      </c>
      <c r="B39" s="10" t="s">
        <v>94</v>
      </c>
      <c r="C39" s="10" t="s">
        <v>10</v>
      </c>
      <c r="D39" s="10" t="s">
        <v>11</v>
      </c>
      <c r="E39" s="10" t="s">
        <v>18</v>
      </c>
      <c r="F39" s="10" t="s">
        <v>13</v>
      </c>
      <c r="G39" s="10">
        <v>6</v>
      </c>
      <c r="H39" s="10">
        <v>1200</v>
      </c>
      <c r="I39" s="10" t="s">
        <v>26</v>
      </c>
      <c r="J39" s="10" t="s">
        <v>15</v>
      </c>
      <c r="K39" s="10">
        <v>7200</v>
      </c>
      <c r="L39" s="10" t="s">
        <v>156</v>
      </c>
    </row>
    <row r="40" spans="1:12" x14ac:dyDescent="0.25">
      <c r="A40" s="20">
        <v>40</v>
      </c>
      <c r="B40" s="10" t="s">
        <v>95</v>
      </c>
      <c r="C40" s="10" t="s">
        <v>24</v>
      </c>
      <c r="D40" s="10" t="s">
        <v>47</v>
      </c>
      <c r="E40" s="10" t="s">
        <v>18</v>
      </c>
      <c r="F40" s="10" t="s">
        <v>13</v>
      </c>
      <c r="G40" s="10">
        <v>0</v>
      </c>
      <c r="H40" s="10">
        <v>1200</v>
      </c>
      <c r="I40" s="10" t="s">
        <v>40</v>
      </c>
      <c r="J40" s="10" t="s">
        <v>23</v>
      </c>
      <c r="K40" s="10">
        <v>0</v>
      </c>
      <c r="L40" s="10" t="s">
        <v>157</v>
      </c>
    </row>
    <row r="41" spans="1:12" x14ac:dyDescent="0.25">
      <c r="A41" s="20">
        <v>41</v>
      </c>
      <c r="B41" s="10" t="s">
        <v>96</v>
      </c>
      <c r="C41" s="10" t="s">
        <v>28</v>
      </c>
      <c r="D41" s="10" t="s">
        <v>17</v>
      </c>
      <c r="E41" s="10" t="s">
        <v>44</v>
      </c>
      <c r="F41" s="10" t="s">
        <v>34</v>
      </c>
      <c r="G41" s="10">
        <v>3</v>
      </c>
      <c r="H41" s="10">
        <v>95</v>
      </c>
      <c r="I41" s="10" t="s">
        <v>42</v>
      </c>
      <c r="J41" s="10" t="s">
        <v>27</v>
      </c>
      <c r="K41" s="10">
        <v>285</v>
      </c>
      <c r="L41" s="10" t="s">
        <v>157</v>
      </c>
    </row>
    <row r="42" spans="1:12" x14ac:dyDescent="0.25">
      <c r="A42" s="20">
        <v>42</v>
      </c>
      <c r="B42" s="10" t="s">
        <v>97</v>
      </c>
      <c r="C42" s="10" t="s">
        <v>24</v>
      </c>
      <c r="D42" s="10" t="s">
        <v>11</v>
      </c>
      <c r="E42" s="10" t="s">
        <v>33</v>
      </c>
      <c r="F42" s="10" t="s">
        <v>34</v>
      </c>
      <c r="G42" s="10">
        <v>9</v>
      </c>
      <c r="H42" s="10">
        <v>180</v>
      </c>
      <c r="I42" s="10" t="s">
        <v>154</v>
      </c>
      <c r="J42" s="10" t="s">
        <v>23</v>
      </c>
      <c r="K42" s="10">
        <v>1620</v>
      </c>
      <c r="L42" s="10" t="s">
        <v>156</v>
      </c>
    </row>
    <row r="43" spans="1:12" x14ac:dyDescent="0.25">
      <c r="A43" s="20">
        <v>43</v>
      </c>
      <c r="B43" s="10" t="s">
        <v>98</v>
      </c>
      <c r="C43" s="10" t="s">
        <v>28</v>
      </c>
      <c r="D43" s="10" t="s">
        <v>11</v>
      </c>
      <c r="E43" s="10" t="s">
        <v>44</v>
      </c>
      <c r="F43" s="10" t="s">
        <v>34</v>
      </c>
      <c r="G43" s="10">
        <v>1</v>
      </c>
      <c r="H43" s="10">
        <v>95</v>
      </c>
      <c r="I43" s="10" t="s">
        <v>154</v>
      </c>
      <c r="J43" s="10" t="s">
        <v>23</v>
      </c>
      <c r="K43" s="10">
        <v>95</v>
      </c>
      <c r="L43" s="10" t="s">
        <v>157</v>
      </c>
    </row>
    <row r="44" spans="1:12" x14ac:dyDescent="0.25">
      <c r="A44" s="20">
        <v>44</v>
      </c>
      <c r="B44" s="10" t="s">
        <v>99</v>
      </c>
      <c r="C44" s="10" t="s">
        <v>38</v>
      </c>
      <c r="D44" s="10" t="s">
        <v>17</v>
      </c>
      <c r="E44" s="10" t="s">
        <v>33</v>
      </c>
      <c r="F44" s="10" t="s">
        <v>34</v>
      </c>
      <c r="G44" s="10">
        <v>3</v>
      </c>
      <c r="H44" s="10">
        <v>180</v>
      </c>
      <c r="I44" s="10" t="s">
        <v>154</v>
      </c>
      <c r="J44" s="10" t="s">
        <v>25</v>
      </c>
      <c r="K44" s="10">
        <v>540</v>
      </c>
      <c r="L44" s="10" t="s">
        <v>156</v>
      </c>
    </row>
    <row r="45" spans="1:12" x14ac:dyDescent="0.25">
      <c r="A45" s="20">
        <v>45</v>
      </c>
      <c r="B45" s="10" t="s">
        <v>100</v>
      </c>
      <c r="C45" s="10" t="s">
        <v>16</v>
      </c>
      <c r="D45" s="10" t="s">
        <v>11</v>
      </c>
      <c r="E45" s="10" t="s">
        <v>33</v>
      </c>
      <c r="F45" s="10" t="s">
        <v>34</v>
      </c>
      <c r="G45" s="10">
        <v>5</v>
      </c>
      <c r="H45" s="10">
        <v>180</v>
      </c>
      <c r="I45" s="10" t="s">
        <v>19</v>
      </c>
      <c r="J45" s="10" t="s">
        <v>37</v>
      </c>
      <c r="K45" s="10">
        <v>900</v>
      </c>
      <c r="L45" s="10" t="s">
        <v>156</v>
      </c>
    </row>
    <row r="46" spans="1:12" x14ac:dyDescent="0.25">
      <c r="A46" s="20">
        <v>46</v>
      </c>
      <c r="B46" s="10" t="s">
        <v>101</v>
      </c>
      <c r="C46" s="10" t="s">
        <v>36</v>
      </c>
      <c r="D46" s="10" t="s">
        <v>17</v>
      </c>
      <c r="E46" s="10" t="s">
        <v>33</v>
      </c>
      <c r="F46" s="10" t="s">
        <v>34</v>
      </c>
      <c r="G46" s="10">
        <v>9</v>
      </c>
      <c r="H46" s="10">
        <v>180</v>
      </c>
      <c r="I46" s="10" t="s">
        <v>35</v>
      </c>
      <c r="J46" s="10" t="s">
        <v>23</v>
      </c>
      <c r="K46" s="10">
        <v>1620</v>
      </c>
      <c r="L46" s="10" t="s">
        <v>156</v>
      </c>
    </row>
    <row r="47" spans="1:12" x14ac:dyDescent="0.25">
      <c r="A47" s="20">
        <v>47</v>
      </c>
      <c r="B47" s="10" t="s">
        <v>102</v>
      </c>
      <c r="C47" s="10" t="s">
        <v>41</v>
      </c>
      <c r="D47" s="10" t="s">
        <v>11</v>
      </c>
      <c r="E47" s="10" t="s">
        <v>29</v>
      </c>
      <c r="F47" s="10" t="s">
        <v>30</v>
      </c>
      <c r="G47" s="10">
        <v>5</v>
      </c>
      <c r="H47" s="10">
        <v>5</v>
      </c>
      <c r="I47" s="10" t="s">
        <v>26</v>
      </c>
      <c r="J47" s="10" t="s">
        <v>15</v>
      </c>
      <c r="K47" s="10">
        <v>25</v>
      </c>
      <c r="L47" s="10" t="s">
        <v>157</v>
      </c>
    </row>
    <row r="48" spans="1:12" x14ac:dyDescent="0.25">
      <c r="A48" s="20">
        <v>48</v>
      </c>
      <c r="B48" s="10" t="s">
        <v>69</v>
      </c>
      <c r="C48" s="10" t="s">
        <v>43</v>
      </c>
      <c r="D48" s="10" t="s">
        <v>17</v>
      </c>
      <c r="E48" s="10" t="s">
        <v>29</v>
      </c>
      <c r="F48" s="10" t="s">
        <v>30</v>
      </c>
      <c r="G48" s="10">
        <v>0</v>
      </c>
      <c r="H48" s="10">
        <v>5</v>
      </c>
      <c r="I48" s="10" t="s">
        <v>40</v>
      </c>
      <c r="J48" s="10" t="s">
        <v>15</v>
      </c>
      <c r="K48" s="10">
        <v>0</v>
      </c>
      <c r="L48" s="10" t="s">
        <v>157</v>
      </c>
    </row>
    <row r="49" spans="1:12" x14ac:dyDescent="0.25">
      <c r="A49" s="20">
        <v>49</v>
      </c>
      <c r="B49" s="10" t="s">
        <v>103</v>
      </c>
      <c r="C49" s="10" t="s">
        <v>158</v>
      </c>
      <c r="D49" s="10" t="s">
        <v>17</v>
      </c>
      <c r="E49" s="10" t="s">
        <v>12</v>
      </c>
      <c r="F49" s="10" t="s">
        <v>13</v>
      </c>
      <c r="G49" s="10">
        <v>4</v>
      </c>
      <c r="H49" s="10">
        <v>250</v>
      </c>
      <c r="I49" s="10" t="s">
        <v>19</v>
      </c>
      <c r="J49" s="10" t="s">
        <v>37</v>
      </c>
      <c r="K49" s="10">
        <v>1000</v>
      </c>
      <c r="L49" s="10" t="s">
        <v>156</v>
      </c>
    </row>
    <row r="50" spans="1:12" x14ac:dyDescent="0.25">
      <c r="A50" s="20">
        <v>50</v>
      </c>
      <c r="B50" s="10" t="s">
        <v>81</v>
      </c>
      <c r="C50" s="10" t="s">
        <v>28</v>
      </c>
      <c r="D50" s="10" t="s">
        <v>11</v>
      </c>
      <c r="E50" s="10" t="s">
        <v>29</v>
      </c>
      <c r="F50" s="10" t="s">
        <v>30</v>
      </c>
      <c r="G50" s="10">
        <v>5</v>
      </c>
      <c r="H50" s="10">
        <v>5</v>
      </c>
      <c r="I50" s="10" t="s">
        <v>42</v>
      </c>
      <c r="J50" s="10" t="s">
        <v>25</v>
      </c>
      <c r="K50" s="10">
        <v>25</v>
      </c>
      <c r="L50" s="10" t="s">
        <v>157</v>
      </c>
    </row>
    <row r="51" spans="1:12" x14ac:dyDescent="0.25">
      <c r="A51" s="20">
        <v>51</v>
      </c>
      <c r="B51" s="10" t="s">
        <v>104</v>
      </c>
      <c r="C51" s="10" t="s">
        <v>16</v>
      </c>
      <c r="D51" s="10" t="s">
        <v>47</v>
      </c>
      <c r="E51" s="10" t="s">
        <v>12</v>
      </c>
      <c r="F51" s="10" t="s">
        <v>13</v>
      </c>
      <c r="G51" s="10">
        <v>7</v>
      </c>
      <c r="H51" s="10">
        <v>250</v>
      </c>
      <c r="I51" s="10" t="s">
        <v>154</v>
      </c>
      <c r="J51" s="10" t="s">
        <v>27</v>
      </c>
      <c r="K51" s="10">
        <v>1750</v>
      </c>
      <c r="L51" s="10" t="s">
        <v>156</v>
      </c>
    </row>
    <row r="52" spans="1:12" x14ac:dyDescent="0.25">
      <c r="A52" s="20">
        <v>52</v>
      </c>
      <c r="B52" s="10" t="s">
        <v>105</v>
      </c>
      <c r="C52" s="10" t="s">
        <v>41</v>
      </c>
      <c r="D52" s="10" t="s">
        <v>47</v>
      </c>
      <c r="E52" s="10" t="s">
        <v>33</v>
      </c>
      <c r="F52" s="10" t="s">
        <v>34</v>
      </c>
      <c r="G52" s="10">
        <v>5</v>
      </c>
      <c r="H52" s="10">
        <v>180</v>
      </c>
      <c r="I52" s="10" t="s">
        <v>26</v>
      </c>
      <c r="J52" s="10" t="s">
        <v>23</v>
      </c>
      <c r="K52" s="10">
        <v>900</v>
      </c>
      <c r="L52" s="10" t="s">
        <v>156</v>
      </c>
    </row>
    <row r="53" spans="1:12" x14ac:dyDescent="0.25">
      <c r="A53" s="20">
        <v>53</v>
      </c>
      <c r="B53" s="10" t="s">
        <v>106</v>
      </c>
      <c r="C53" s="10" t="s">
        <v>158</v>
      </c>
      <c r="D53" s="10" t="s">
        <v>17</v>
      </c>
      <c r="E53" s="10" t="s">
        <v>29</v>
      </c>
      <c r="F53" s="10" t="s">
        <v>30</v>
      </c>
      <c r="G53" s="10">
        <v>8</v>
      </c>
      <c r="H53" s="10">
        <v>5</v>
      </c>
      <c r="I53" s="10" t="s">
        <v>35</v>
      </c>
      <c r="J53" s="10" t="s">
        <v>27</v>
      </c>
      <c r="K53" s="10">
        <v>40</v>
      </c>
      <c r="L53" s="10" t="s">
        <v>157</v>
      </c>
    </row>
    <row r="54" spans="1:12" x14ac:dyDescent="0.25">
      <c r="A54" s="20">
        <v>54</v>
      </c>
      <c r="B54" s="10" t="s">
        <v>107</v>
      </c>
      <c r="C54" s="10" t="s">
        <v>43</v>
      </c>
      <c r="D54" s="10" t="s">
        <v>11</v>
      </c>
      <c r="E54" s="10" t="s">
        <v>21</v>
      </c>
      <c r="F54" s="10" t="s">
        <v>13</v>
      </c>
      <c r="G54" s="10">
        <v>0</v>
      </c>
      <c r="H54" s="10">
        <v>25</v>
      </c>
      <c r="I54" s="10" t="s">
        <v>26</v>
      </c>
      <c r="J54" s="10" t="s">
        <v>15</v>
      </c>
      <c r="K54" s="10">
        <v>0</v>
      </c>
      <c r="L54" s="10" t="s">
        <v>157</v>
      </c>
    </row>
    <row r="55" spans="1:12" x14ac:dyDescent="0.25">
      <c r="A55" s="20">
        <v>55</v>
      </c>
      <c r="B55" s="10" t="s">
        <v>108</v>
      </c>
      <c r="C55" s="10" t="s">
        <v>41</v>
      </c>
      <c r="D55" s="10" t="s">
        <v>11</v>
      </c>
      <c r="E55" s="10" t="s">
        <v>18</v>
      </c>
      <c r="F55" s="10" t="s">
        <v>13</v>
      </c>
      <c r="G55" s="10">
        <v>8</v>
      </c>
      <c r="H55" s="10">
        <v>1200</v>
      </c>
      <c r="I55" s="10" t="s">
        <v>26</v>
      </c>
      <c r="J55" s="10" t="s">
        <v>23</v>
      </c>
      <c r="K55" s="10">
        <v>9600</v>
      </c>
      <c r="L55" s="10" t="s">
        <v>156</v>
      </c>
    </row>
    <row r="56" spans="1:12" x14ac:dyDescent="0.25">
      <c r="A56" s="20">
        <v>56</v>
      </c>
      <c r="B56" s="10" t="s">
        <v>109</v>
      </c>
      <c r="C56" s="10" t="s">
        <v>38</v>
      </c>
      <c r="D56" s="10" t="s">
        <v>11</v>
      </c>
      <c r="E56" s="10" t="s">
        <v>21</v>
      </c>
      <c r="F56" s="10" t="s">
        <v>13</v>
      </c>
      <c r="G56" s="10">
        <v>1</v>
      </c>
      <c r="H56" s="10">
        <v>25</v>
      </c>
      <c r="I56" s="10" t="s">
        <v>40</v>
      </c>
      <c r="J56" s="10" t="s">
        <v>25</v>
      </c>
      <c r="K56" s="10">
        <v>25</v>
      </c>
      <c r="L56" s="10" t="s">
        <v>157</v>
      </c>
    </row>
    <row r="57" spans="1:12" x14ac:dyDescent="0.25">
      <c r="A57" s="20">
        <v>57</v>
      </c>
      <c r="B57" s="10" t="s">
        <v>65</v>
      </c>
      <c r="C57" s="10" t="s">
        <v>158</v>
      </c>
      <c r="D57" s="10" t="s">
        <v>11</v>
      </c>
      <c r="E57" s="10" t="s">
        <v>18</v>
      </c>
      <c r="F57" s="10" t="s">
        <v>13</v>
      </c>
      <c r="G57" s="10">
        <v>9</v>
      </c>
      <c r="H57" s="10">
        <v>1200</v>
      </c>
      <c r="I57" s="10" t="s">
        <v>40</v>
      </c>
      <c r="J57" s="10" t="s">
        <v>15</v>
      </c>
      <c r="K57" s="10">
        <v>10800</v>
      </c>
      <c r="L57" s="10" t="s">
        <v>156</v>
      </c>
    </row>
    <row r="58" spans="1:12" x14ac:dyDescent="0.25">
      <c r="A58" s="20">
        <v>58</v>
      </c>
      <c r="B58" s="10" t="s">
        <v>110</v>
      </c>
      <c r="C58" s="10" t="s">
        <v>36</v>
      </c>
      <c r="D58" s="10" t="s">
        <v>11</v>
      </c>
      <c r="E58" s="10" t="s">
        <v>29</v>
      </c>
      <c r="F58" s="10" t="s">
        <v>30</v>
      </c>
      <c r="G58" s="10">
        <v>6</v>
      </c>
      <c r="H58" s="10">
        <v>5</v>
      </c>
      <c r="I58" s="10" t="s">
        <v>42</v>
      </c>
      <c r="J58" s="10" t="s">
        <v>25</v>
      </c>
      <c r="K58" s="10">
        <v>30</v>
      </c>
      <c r="L58" s="10" t="s">
        <v>157</v>
      </c>
    </row>
    <row r="59" spans="1:12" x14ac:dyDescent="0.25">
      <c r="A59" s="20">
        <v>59</v>
      </c>
      <c r="B59" s="10" t="s">
        <v>111</v>
      </c>
      <c r="C59" s="10" t="s">
        <v>10</v>
      </c>
      <c r="D59" s="10" t="s">
        <v>47</v>
      </c>
      <c r="E59" s="10" t="s">
        <v>44</v>
      </c>
      <c r="F59" s="10" t="s">
        <v>34</v>
      </c>
      <c r="G59" s="10">
        <v>5</v>
      </c>
      <c r="H59" s="10">
        <v>95</v>
      </c>
      <c r="I59" s="10" t="s">
        <v>26</v>
      </c>
      <c r="J59" s="10" t="s">
        <v>27</v>
      </c>
      <c r="K59" s="10">
        <v>475</v>
      </c>
      <c r="L59" s="10" t="s">
        <v>157</v>
      </c>
    </row>
    <row r="60" spans="1:12" x14ac:dyDescent="0.25">
      <c r="A60" s="20">
        <v>60</v>
      </c>
      <c r="B60" s="10" t="s">
        <v>112</v>
      </c>
      <c r="C60" s="10" t="s">
        <v>28</v>
      </c>
      <c r="D60" s="10" t="s">
        <v>17</v>
      </c>
      <c r="E60" s="10" t="s">
        <v>12</v>
      </c>
      <c r="F60" s="10" t="s">
        <v>13</v>
      </c>
      <c r="G60" s="10">
        <v>5</v>
      </c>
      <c r="H60" s="10">
        <v>250</v>
      </c>
      <c r="I60" s="10" t="s">
        <v>42</v>
      </c>
      <c r="J60" s="10" t="s">
        <v>23</v>
      </c>
      <c r="K60" s="10">
        <v>1250</v>
      </c>
      <c r="L60" s="10" t="s">
        <v>156</v>
      </c>
    </row>
    <row r="61" spans="1:12" x14ac:dyDescent="0.25">
      <c r="A61" s="20">
        <v>61</v>
      </c>
      <c r="B61" s="10" t="s">
        <v>113</v>
      </c>
      <c r="C61" s="10" t="s">
        <v>158</v>
      </c>
      <c r="D61" s="10" t="s">
        <v>11</v>
      </c>
      <c r="E61" s="10" t="s">
        <v>44</v>
      </c>
      <c r="F61" s="10" t="s">
        <v>34</v>
      </c>
      <c r="G61" s="10">
        <v>3</v>
      </c>
      <c r="H61" s="10">
        <v>95</v>
      </c>
      <c r="I61" s="10" t="s">
        <v>26</v>
      </c>
      <c r="J61" s="10" t="s">
        <v>27</v>
      </c>
      <c r="K61" s="10">
        <v>285</v>
      </c>
      <c r="L61" s="10" t="s">
        <v>157</v>
      </c>
    </row>
    <row r="62" spans="1:12" x14ac:dyDescent="0.25">
      <c r="A62" s="20">
        <v>62</v>
      </c>
      <c r="B62" s="10" t="s">
        <v>114</v>
      </c>
      <c r="C62" s="10" t="s">
        <v>41</v>
      </c>
      <c r="D62" s="10" t="s">
        <v>17</v>
      </c>
      <c r="E62" s="10" t="s">
        <v>21</v>
      </c>
      <c r="F62" s="10" t="s">
        <v>13</v>
      </c>
      <c r="G62" s="10">
        <v>7</v>
      </c>
      <c r="H62" s="10">
        <v>25</v>
      </c>
      <c r="I62" s="10" t="s">
        <v>26</v>
      </c>
      <c r="J62" s="10" t="s">
        <v>25</v>
      </c>
      <c r="K62" s="10">
        <v>175</v>
      </c>
      <c r="L62" s="10" t="s">
        <v>157</v>
      </c>
    </row>
    <row r="63" spans="1:12" x14ac:dyDescent="0.25">
      <c r="A63" s="20">
        <v>63</v>
      </c>
      <c r="B63" s="10" t="s">
        <v>115</v>
      </c>
      <c r="C63" s="10" t="s">
        <v>38</v>
      </c>
      <c r="D63" s="10" t="s">
        <v>11</v>
      </c>
      <c r="E63" s="10" t="s">
        <v>18</v>
      </c>
      <c r="F63" s="10" t="s">
        <v>13</v>
      </c>
      <c r="G63" s="10">
        <v>6</v>
      </c>
      <c r="H63" s="10">
        <v>1200</v>
      </c>
      <c r="I63" s="10" t="s">
        <v>154</v>
      </c>
      <c r="J63" s="10" t="s">
        <v>15</v>
      </c>
      <c r="K63" s="10">
        <v>7200</v>
      </c>
      <c r="L63" s="10" t="s">
        <v>156</v>
      </c>
    </row>
    <row r="64" spans="1:12" x14ac:dyDescent="0.25">
      <c r="A64" s="20">
        <v>64</v>
      </c>
      <c r="B64" s="10" t="s">
        <v>112</v>
      </c>
      <c r="C64" s="10" t="s">
        <v>38</v>
      </c>
      <c r="D64" s="10" t="s">
        <v>11</v>
      </c>
      <c r="E64" s="10" t="s">
        <v>21</v>
      </c>
      <c r="F64" s="10" t="s">
        <v>13</v>
      </c>
      <c r="G64" s="10">
        <v>0</v>
      </c>
      <c r="H64" s="10">
        <v>25</v>
      </c>
      <c r="I64" s="10" t="s">
        <v>14</v>
      </c>
      <c r="J64" s="10" t="s">
        <v>25</v>
      </c>
      <c r="K64" s="10">
        <v>0</v>
      </c>
      <c r="L64" s="10" t="s">
        <v>157</v>
      </c>
    </row>
    <row r="65" spans="1:12" x14ac:dyDescent="0.25">
      <c r="A65" s="20">
        <v>65</v>
      </c>
      <c r="B65" s="10" t="s">
        <v>116</v>
      </c>
      <c r="C65" s="10" t="s">
        <v>41</v>
      </c>
      <c r="D65" s="10" t="s">
        <v>47</v>
      </c>
      <c r="E65" s="10" t="s">
        <v>12</v>
      </c>
      <c r="F65" s="10" t="s">
        <v>13</v>
      </c>
      <c r="G65" s="10">
        <v>0</v>
      </c>
      <c r="H65" s="10">
        <v>250</v>
      </c>
      <c r="I65" s="10" t="s">
        <v>40</v>
      </c>
      <c r="J65" s="10" t="s">
        <v>27</v>
      </c>
      <c r="K65" s="10">
        <v>0</v>
      </c>
      <c r="L65" s="10" t="s">
        <v>157</v>
      </c>
    </row>
    <row r="66" spans="1:12" x14ac:dyDescent="0.25">
      <c r="A66" s="20">
        <v>66</v>
      </c>
      <c r="B66" s="10" t="s">
        <v>117</v>
      </c>
      <c r="C66" s="10" t="s">
        <v>20</v>
      </c>
      <c r="D66" s="10" t="s">
        <v>11</v>
      </c>
      <c r="E66" s="10" t="s">
        <v>18</v>
      </c>
      <c r="F66" s="10" t="s">
        <v>13</v>
      </c>
      <c r="G66" s="10">
        <v>7</v>
      </c>
      <c r="H66" s="10">
        <v>1200</v>
      </c>
      <c r="I66" s="10" t="s">
        <v>42</v>
      </c>
      <c r="J66" s="10" t="s">
        <v>25</v>
      </c>
      <c r="K66" s="10">
        <v>8400</v>
      </c>
      <c r="L66" s="10" t="s">
        <v>156</v>
      </c>
    </row>
    <row r="67" spans="1:12" x14ac:dyDescent="0.25">
      <c r="A67" s="20">
        <v>67</v>
      </c>
      <c r="B67" s="10" t="s">
        <v>67</v>
      </c>
      <c r="C67" s="10" t="s">
        <v>38</v>
      </c>
      <c r="D67" s="10" t="s">
        <v>17</v>
      </c>
      <c r="E67" s="10" t="s">
        <v>33</v>
      </c>
      <c r="F67" s="10" t="s">
        <v>34</v>
      </c>
      <c r="G67" s="10">
        <v>6</v>
      </c>
      <c r="H67" s="10">
        <v>180</v>
      </c>
      <c r="I67" s="10" t="s">
        <v>14</v>
      </c>
      <c r="J67" s="10" t="s">
        <v>15</v>
      </c>
      <c r="K67" s="10">
        <v>1080</v>
      </c>
      <c r="L67" s="10" t="s">
        <v>156</v>
      </c>
    </row>
    <row r="68" spans="1:12" x14ac:dyDescent="0.25">
      <c r="A68" s="20">
        <v>68</v>
      </c>
      <c r="B68" s="10" t="s">
        <v>118</v>
      </c>
      <c r="C68" s="10" t="s">
        <v>158</v>
      </c>
      <c r="D68" s="10" t="s">
        <v>17</v>
      </c>
      <c r="E68" s="10" t="s">
        <v>18</v>
      </c>
      <c r="F68" s="10" t="s">
        <v>13</v>
      </c>
      <c r="G68" s="10">
        <v>6</v>
      </c>
      <c r="H68" s="10">
        <v>1200</v>
      </c>
      <c r="I68" s="10" t="s">
        <v>42</v>
      </c>
      <c r="J68" s="10" t="s">
        <v>27</v>
      </c>
      <c r="K68" s="10">
        <v>7200</v>
      </c>
      <c r="L68" s="10" t="s">
        <v>156</v>
      </c>
    </row>
    <row r="69" spans="1:12" x14ac:dyDescent="0.25">
      <c r="A69" s="20">
        <v>69</v>
      </c>
      <c r="B69" s="10" t="s">
        <v>119</v>
      </c>
      <c r="C69" s="10" t="s">
        <v>20</v>
      </c>
      <c r="D69" s="10" t="s">
        <v>17</v>
      </c>
      <c r="E69" s="10" t="s">
        <v>29</v>
      </c>
      <c r="F69" s="10" t="s">
        <v>30</v>
      </c>
      <c r="G69" s="10">
        <v>3</v>
      </c>
      <c r="H69" s="10">
        <v>5</v>
      </c>
      <c r="I69" s="10" t="s">
        <v>14</v>
      </c>
      <c r="J69" s="10" t="s">
        <v>37</v>
      </c>
      <c r="K69" s="10">
        <v>15</v>
      </c>
      <c r="L69" s="10" t="s">
        <v>157</v>
      </c>
    </row>
    <row r="70" spans="1:12" x14ac:dyDescent="0.25">
      <c r="A70" s="20">
        <v>70</v>
      </c>
      <c r="B70" s="10" t="s">
        <v>120</v>
      </c>
      <c r="C70" s="10" t="s">
        <v>158</v>
      </c>
      <c r="D70" s="10" t="s">
        <v>11</v>
      </c>
      <c r="E70" s="10" t="s">
        <v>33</v>
      </c>
      <c r="F70" s="10" t="s">
        <v>34</v>
      </c>
      <c r="G70" s="10">
        <v>3</v>
      </c>
      <c r="H70" s="10">
        <v>180</v>
      </c>
      <c r="I70" s="10" t="s">
        <v>19</v>
      </c>
      <c r="J70" s="10" t="s">
        <v>37</v>
      </c>
      <c r="K70" s="10">
        <v>540</v>
      </c>
      <c r="L70" s="10" t="s">
        <v>156</v>
      </c>
    </row>
    <row r="71" spans="1:12" x14ac:dyDescent="0.25">
      <c r="A71" s="20">
        <v>71</v>
      </c>
      <c r="B71" s="10" t="s">
        <v>121</v>
      </c>
      <c r="C71" s="10" t="s">
        <v>43</v>
      </c>
      <c r="D71" s="10" t="s">
        <v>17</v>
      </c>
      <c r="E71" s="10" t="s">
        <v>29</v>
      </c>
      <c r="F71" s="10" t="s">
        <v>30</v>
      </c>
      <c r="G71" s="10">
        <v>7</v>
      </c>
      <c r="H71" s="10">
        <v>5</v>
      </c>
      <c r="I71" s="10" t="s">
        <v>47</v>
      </c>
      <c r="J71" s="10" t="s">
        <v>27</v>
      </c>
      <c r="K71" s="10">
        <v>35</v>
      </c>
      <c r="L71" s="10" t="s">
        <v>157</v>
      </c>
    </row>
    <row r="72" spans="1:12" x14ac:dyDescent="0.25">
      <c r="A72" s="20">
        <v>72</v>
      </c>
      <c r="B72" s="10" t="s">
        <v>64</v>
      </c>
      <c r="C72" s="10" t="s">
        <v>158</v>
      </c>
      <c r="D72" s="10" t="s">
        <v>47</v>
      </c>
      <c r="E72" s="10" t="s">
        <v>12</v>
      </c>
      <c r="F72" s="10" t="s">
        <v>13</v>
      </c>
      <c r="G72" s="10">
        <v>5</v>
      </c>
      <c r="H72" s="10">
        <v>250</v>
      </c>
      <c r="I72" s="10" t="s">
        <v>26</v>
      </c>
      <c r="J72" s="10" t="s">
        <v>37</v>
      </c>
      <c r="K72" s="10">
        <v>1250</v>
      </c>
      <c r="L72" s="10" t="s">
        <v>156</v>
      </c>
    </row>
    <row r="73" spans="1:12" x14ac:dyDescent="0.25">
      <c r="A73" s="20">
        <v>73</v>
      </c>
      <c r="B73" s="10" t="s">
        <v>122</v>
      </c>
      <c r="C73" s="10" t="s">
        <v>16</v>
      </c>
      <c r="D73" s="10" t="s">
        <v>11</v>
      </c>
      <c r="E73" s="10" t="s">
        <v>18</v>
      </c>
      <c r="F73" s="10" t="s">
        <v>13</v>
      </c>
      <c r="G73" s="10">
        <v>9</v>
      </c>
      <c r="H73" s="10">
        <v>1200</v>
      </c>
      <c r="I73" s="10" t="s">
        <v>35</v>
      </c>
      <c r="J73" s="10" t="s">
        <v>25</v>
      </c>
      <c r="K73" s="10">
        <v>10800</v>
      </c>
      <c r="L73" s="10" t="s">
        <v>156</v>
      </c>
    </row>
    <row r="74" spans="1:12" x14ac:dyDescent="0.25">
      <c r="A74" s="20">
        <v>74</v>
      </c>
      <c r="B74" s="10" t="s">
        <v>72</v>
      </c>
      <c r="C74" s="10" t="s">
        <v>36</v>
      </c>
      <c r="D74" s="10" t="s">
        <v>17</v>
      </c>
      <c r="E74" s="10" t="s">
        <v>12</v>
      </c>
      <c r="F74" s="10" t="s">
        <v>13</v>
      </c>
      <c r="G74" s="10">
        <v>3</v>
      </c>
      <c r="H74" s="10">
        <v>250</v>
      </c>
      <c r="I74" s="10" t="s">
        <v>154</v>
      </c>
      <c r="J74" s="10" t="s">
        <v>25</v>
      </c>
      <c r="K74" s="10">
        <v>750</v>
      </c>
      <c r="L74" s="10" t="s">
        <v>156</v>
      </c>
    </row>
    <row r="75" spans="1:12" x14ac:dyDescent="0.25">
      <c r="A75" s="20">
        <v>75</v>
      </c>
      <c r="B75" s="10" t="s">
        <v>80</v>
      </c>
      <c r="C75" s="10" t="s">
        <v>10</v>
      </c>
      <c r="D75" s="10" t="s">
        <v>17</v>
      </c>
      <c r="E75" s="10" t="s">
        <v>44</v>
      </c>
      <c r="F75" s="10" t="s">
        <v>34</v>
      </c>
      <c r="G75" s="10">
        <v>7</v>
      </c>
      <c r="H75" s="10">
        <v>95</v>
      </c>
      <c r="I75" s="10" t="s">
        <v>19</v>
      </c>
      <c r="J75" s="10" t="s">
        <v>37</v>
      </c>
      <c r="K75" s="10">
        <v>665</v>
      </c>
      <c r="L75" s="10" t="s">
        <v>156</v>
      </c>
    </row>
    <row r="76" spans="1:12" x14ac:dyDescent="0.25">
      <c r="A76" s="20">
        <v>76</v>
      </c>
      <c r="B76" s="10" t="s">
        <v>123</v>
      </c>
      <c r="C76" s="10" t="s">
        <v>41</v>
      </c>
      <c r="D76" s="10" t="s">
        <v>11</v>
      </c>
      <c r="E76" s="10" t="s">
        <v>44</v>
      </c>
      <c r="F76" s="10" t="s">
        <v>34</v>
      </c>
      <c r="G76" s="10">
        <v>4</v>
      </c>
      <c r="H76" s="10">
        <v>95</v>
      </c>
      <c r="I76" s="10" t="s">
        <v>35</v>
      </c>
      <c r="J76" s="10" t="s">
        <v>23</v>
      </c>
      <c r="K76" s="10">
        <v>380</v>
      </c>
      <c r="L76" s="10" t="s">
        <v>157</v>
      </c>
    </row>
    <row r="77" spans="1:12" x14ac:dyDescent="0.25">
      <c r="A77" s="20">
        <v>77</v>
      </c>
      <c r="B77" s="10" t="s">
        <v>124</v>
      </c>
      <c r="C77" s="10" t="s">
        <v>10</v>
      </c>
      <c r="D77" s="10" t="s">
        <v>17</v>
      </c>
      <c r="E77" s="10" t="s">
        <v>44</v>
      </c>
      <c r="F77" s="10" t="s">
        <v>34</v>
      </c>
      <c r="G77" s="10">
        <v>4</v>
      </c>
      <c r="H77" s="10">
        <v>95</v>
      </c>
      <c r="I77" s="10" t="s">
        <v>35</v>
      </c>
      <c r="J77" s="10" t="s">
        <v>15</v>
      </c>
      <c r="K77" s="10">
        <v>380</v>
      </c>
      <c r="L77" s="10" t="s">
        <v>157</v>
      </c>
    </row>
    <row r="78" spans="1:12" x14ac:dyDescent="0.25">
      <c r="A78" s="20">
        <v>78</v>
      </c>
      <c r="B78" s="10" t="s">
        <v>125</v>
      </c>
      <c r="C78" s="10" t="s">
        <v>43</v>
      </c>
      <c r="D78" s="10" t="s">
        <v>11</v>
      </c>
      <c r="E78" s="10" t="s">
        <v>18</v>
      </c>
      <c r="F78" s="10" t="s">
        <v>13</v>
      </c>
      <c r="G78" s="10">
        <v>9</v>
      </c>
      <c r="H78" s="10">
        <v>1200</v>
      </c>
      <c r="I78" s="10" t="s">
        <v>14</v>
      </c>
      <c r="J78" s="10" t="s">
        <v>25</v>
      </c>
      <c r="K78" s="10">
        <v>10800</v>
      </c>
      <c r="L78" s="10" t="s">
        <v>156</v>
      </c>
    </row>
    <row r="79" spans="1:12" x14ac:dyDescent="0.25">
      <c r="A79" s="20">
        <v>79</v>
      </c>
      <c r="B79" s="10" t="s">
        <v>126</v>
      </c>
      <c r="C79" s="10" t="s">
        <v>16</v>
      </c>
      <c r="D79" s="10" t="s">
        <v>17</v>
      </c>
      <c r="E79" s="10" t="s">
        <v>12</v>
      </c>
      <c r="F79" s="10" t="s">
        <v>13</v>
      </c>
      <c r="G79" s="10">
        <v>8</v>
      </c>
      <c r="H79" s="10">
        <v>250</v>
      </c>
      <c r="I79" s="10" t="s">
        <v>42</v>
      </c>
      <c r="J79" s="10" t="s">
        <v>37</v>
      </c>
      <c r="K79" s="10">
        <v>2000</v>
      </c>
      <c r="L79" s="10" t="s">
        <v>156</v>
      </c>
    </row>
    <row r="80" spans="1:12" x14ac:dyDescent="0.25">
      <c r="A80" s="20">
        <v>80</v>
      </c>
      <c r="B80" s="10" t="s">
        <v>127</v>
      </c>
      <c r="C80" s="10" t="s">
        <v>36</v>
      </c>
      <c r="D80" s="10" t="s">
        <v>47</v>
      </c>
      <c r="E80" s="10" t="s">
        <v>12</v>
      </c>
      <c r="F80" s="10" t="s">
        <v>13</v>
      </c>
      <c r="G80" s="10">
        <v>10</v>
      </c>
      <c r="H80" s="10">
        <v>250</v>
      </c>
      <c r="I80" s="10" t="s">
        <v>40</v>
      </c>
      <c r="J80" s="10" t="s">
        <v>37</v>
      </c>
      <c r="K80" s="10">
        <v>2500</v>
      </c>
      <c r="L80" s="10" t="s">
        <v>156</v>
      </c>
    </row>
    <row r="81" spans="1:12" x14ac:dyDescent="0.25">
      <c r="A81" s="20">
        <v>81</v>
      </c>
      <c r="B81" s="10" t="s">
        <v>46</v>
      </c>
      <c r="C81" s="10" t="s">
        <v>10</v>
      </c>
      <c r="D81" s="10" t="s">
        <v>11</v>
      </c>
      <c r="E81" s="10" t="s">
        <v>33</v>
      </c>
      <c r="F81" s="10" t="s">
        <v>34</v>
      </c>
      <c r="G81" s="10">
        <v>8</v>
      </c>
      <c r="H81" s="10">
        <v>180</v>
      </c>
      <c r="I81" s="10" t="s">
        <v>19</v>
      </c>
      <c r="J81" s="10" t="s">
        <v>15</v>
      </c>
      <c r="K81" s="10">
        <v>1440</v>
      </c>
      <c r="L81" s="10" t="s">
        <v>156</v>
      </c>
    </row>
    <row r="82" spans="1:12" x14ac:dyDescent="0.25">
      <c r="A82" s="20">
        <v>82</v>
      </c>
      <c r="B82" s="10" t="s">
        <v>128</v>
      </c>
      <c r="C82" s="10" t="s">
        <v>20</v>
      </c>
      <c r="D82" s="10" t="s">
        <v>17</v>
      </c>
      <c r="E82" s="10" t="s">
        <v>12</v>
      </c>
      <c r="F82" s="10" t="s">
        <v>13</v>
      </c>
      <c r="G82" s="10">
        <v>3</v>
      </c>
      <c r="H82" s="10">
        <v>250</v>
      </c>
      <c r="I82" s="10" t="s">
        <v>40</v>
      </c>
      <c r="J82" s="10" t="s">
        <v>15</v>
      </c>
      <c r="K82" s="10">
        <v>750</v>
      </c>
      <c r="L82" s="10" t="s">
        <v>156</v>
      </c>
    </row>
    <row r="83" spans="1:12" x14ac:dyDescent="0.25">
      <c r="A83" s="20">
        <v>83</v>
      </c>
      <c r="B83" s="10" t="s">
        <v>129</v>
      </c>
      <c r="C83" s="10" t="s">
        <v>43</v>
      </c>
      <c r="D83" s="10" t="s">
        <v>17</v>
      </c>
      <c r="E83" s="10" t="s">
        <v>33</v>
      </c>
      <c r="F83" s="10" t="s">
        <v>34</v>
      </c>
      <c r="G83" s="10">
        <v>2</v>
      </c>
      <c r="H83" s="10">
        <v>0</v>
      </c>
      <c r="I83" s="10" t="s">
        <v>40</v>
      </c>
      <c r="J83" s="10" t="s">
        <v>23</v>
      </c>
      <c r="K83" s="10">
        <v>0</v>
      </c>
      <c r="L83" s="10" t="s">
        <v>157</v>
      </c>
    </row>
    <row r="84" spans="1:12" x14ac:dyDescent="0.25">
      <c r="A84" s="20">
        <v>84</v>
      </c>
      <c r="B84" s="10" t="s">
        <v>130</v>
      </c>
      <c r="C84" s="10" t="s">
        <v>10</v>
      </c>
      <c r="D84" s="10" t="s">
        <v>11</v>
      </c>
      <c r="E84" s="10" t="s">
        <v>33</v>
      </c>
      <c r="F84" s="10" t="s">
        <v>34</v>
      </c>
      <c r="G84" s="10">
        <v>1</v>
      </c>
      <c r="H84" s="10">
        <v>180</v>
      </c>
      <c r="I84" s="10" t="s">
        <v>19</v>
      </c>
      <c r="J84" s="10" t="s">
        <v>27</v>
      </c>
      <c r="K84" s="10">
        <v>180</v>
      </c>
      <c r="L84" s="10" t="s">
        <v>157</v>
      </c>
    </row>
    <row r="85" spans="1:12" x14ac:dyDescent="0.25">
      <c r="A85" s="20">
        <v>85</v>
      </c>
      <c r="B85" s="10" t="s">
        <v>131</v>
      </c>
      <c r="C85" s="10" t="s">
        <v>20</v>
      </c>
      <c r="D85" s="10" t="s">
        <v>17</v>
      </c>
      <c r="E85" s="10" t="s">
        <v>29</v>
      </c>
      <c r="F85" s="10" t="s">
        <v>30</v>
      </c>
      <c r="G85" s="10">
        <v>5</v>
      </c>
      <c r="H85" s="10">
        <v>5</v>
      </c>
      <c r="I85" s="10" t="s">
        <v>154</v>
      </c>
      <c r="J85" s="10" t="s">
        <v>25</v>
      </c>
      <c r="K85" s="10">
        <v>25</v>
      </c>
      <c r="L85" s="10" t="s">
        <v>157</v>
      </c>
    </row>
    <row r="86" spans="1:12" x14ac:dyDescent="0.25">
      <c r="A86" s="20">
        <v>86</v>
      </c>
      <c r="B86" s="10" t="s">
        <v>132</v>
      </c>
      <c r="C86" s="10" t="s">
        <v>158</v>
      </c>
      <c r="D86" s="10" t="s">
        <v>47</v>
      </c>
      <c r="E86" s="10" t="s">
        <v>18</v>
      </c>
      <c r="F86" s="10" t="s">
        <v>13</v>
      </c>
      <c r="G86" s="10">
        <v>2</v>
      </c>
      <c r="H86" s="10">
        <v>1200</v>
      </c>
      <c r="I86" s="10" t="s">
        <v>42</v>
      </c>
      <c r="J86" s="10" t="s">
        <v>15</v>
      </c>
      <c r="K86" s="10">
        <v>2400</v>
      </c>
      <c r="L86" s="10" t="s">
        <v>156</v>
      </c>
    </row>
    <row r="87" spans="1:12" x14ac:dyDescent="0.25">
      <c r="A87" s="20">
        <v>87</v>
      </c>
      <c r="B87" s="10" t="s">
        <v>133</v>
      </c>
      <c r="C87" s="10" t="s">
        <v>36</v>
      </c>
      <c r="D87" s="10" t="s">
        <v>11</v>
      </c>
      <c r="E87" s="10" t="s">
        <v>33</v>
      </c>
      <c r="F87" s="10" t="s">
        <v>34</v>
      </c>
      <c r="G87" s="10">
        <v>2</v>
      </c>
      <c r="H87" s="10">
        <v>180</v>
      </c>
      <c r="I87" s="10" t="s">
        <v>42</v>
      </c>
      <c r="J87" s="10" t="s">
        <v>15</v>
      </c>
      <c r="K87" s="10">
        <v>360</v>
      </c>
      <c r="L87" s="10" t="s">
        <v>157</v>
      </c>
    </row>
    <row r="88" spans="1:12" x14ac:dyDescent="0.25">
      <c r="A88" s="20">
        <v>88</v>
      </c>
      <c r="B88" s="10" t="s">
        <v>134</v>
      </c>
      <c r="C88" s="10" t="s">
        <v>41</v>
      </c>
      <c r="D88" s="10" t="s">
        <v>11</v>
      </c>
      <c r="E88" s="10" t="s">
        <v>44</v>
      </c>
      <c r="F88" s="10" t="s">
        <v>34</v>
      </c>
      <c r="G88" s="10">
        <v>8</v>
      </c>
      <c r="H88" s="10">
        <v>95</v>
      </c>
      <c r="I88" s="10" t="s">
        <v>40</v>
      </c>
      <c r="J88" s="10" t="s">
        <v>27</v>
      </c>
      <c r="K88" s="10">
        <v>760</v>
      </c>
      <c r="L88" s="10" t="s">
        <v>156</v>
      </c>
    </row>
    <row r="89" spans="1:12" x14ac:dyDescent="0.25">
      <c r="A89" s="20">
        <v>89</v>
      </c>
      <c r="B89" s="10" t="s">
        <v>135</v>
      </c>
      <c r="C89" s="10" t="s">
        <v>158</v>
      </c>
      <c r="D89" s="10" t="s">
        <v>11</v>
      </c>
      <c r="E89" s="10" t="s">
        <v>21</v>
      </c>
      <c r="F89" s="10" t="s">
        <v>13</v>
      </c>
      <c r="G89" s="10">
        <v>4</v>
      </c>
      <c r="H89" s="10">
        <v>25</v>
      </c>
      <c r="I89" s="10" t="s">
        <v>42</v>
      </c>
      <c r="J89" s="10" t="s">
        <v>27</v>
      </c>
      <c r="K89" s="10">
        <v>100</v>
      </c>
      <c r="L89" s="10" t="s">
        <v>157</v>
      </c>
    </row>
    <row r="90" spans="1:12" x14ac:dyDescent="0.25">
      <c r="A90" s="20">
        <v>90</v>
      </c>
      <c r="B90" s="10" t="s">
        <v>136</v>
      </c>
      <c r="C90" s="10" t="s">
        <v>20</v>
      </c>
      <c r="D90" s="10" t="s">
        <v>17</v>
      </c>
      <c r="E90" s="10" t="s">
        <v>44</v>
      </c>
      <c r="F90" s="10" t="s">
        <v>34</v>
      </c>
      <c r="G90" s="10">
        <v>0</v>
      </c>
      <c r="H90" s="10">
        <v>95</v>
      </c>
      <c r="I90" s="10" t="s">
        <v>35</v>
      </c>
      <c r="J90" s="10" t="s">
        <v>25</v>
      </c>
      <c r="K90" s="10">
        <v>0</v>
      </c>
      <c r="L90" s="10" t="s">
        <v>157</v>
      </c>
    </row>
    <row r="91" spans="1:12" x14ac:dyDescent="0.25">
      <c r="A91" s="20">
        <v>91</v>
      </c>
      <c r="B91" s="10" t="s">
        <v>137</v>
      </c>
      <c r="C91" s="10" t="s">
        <v>41</v>
      </c>
      <c r="D91" s="10" t="s">
        <v>11</v>
      </c>
      <c r="E91" s="10" t="s">
        <v>18</v>
      </c>
      <c r="F91" s="10" t="s">
        <v>13</v>
      </c>
      <c r="G91" s="10">
        <v>4</v>
      </c>
      <c r="H91" s="10">
        <v>1200</v>
      </c>
      <c r="I91" s="10" t="s">
        <v>14</v>
      </c>
      <c r="J91" s="10" t="s">
        <v>23</v>
      </c>
      <c r="K91" s="10">
        <v>4800</v>
      </c>
      <c r="L91" s="10" t="s">
        <v>156</v>
      </c>
    </row>
    <row r="92" spans="1:12" x14ac:dyDescent="0.25">
      <c r="A92" s="20">
        <v>92</v>
      </c>
      <c r="B92" s="10" t="s">
        <v>138</v>
      </c>
      <c r="C92" s="10" t="s">
        <v>24</v>
      </c>
      <c r="D92" s="10" t="s">
        <v>17</v>
      </c>
      <c r="E92" s="10" t="s">
        <v>33</v>
      </c>
      <c r="F92" s="10" t="s">
        <v>34</v>
      </c>
      <c r="G92" s="10">
        <v>3</v>
      </c>
      <c r="H92" s="10">
        <v>180</v>
      </c>
      <c r="I92" s="10" t="s">
        <v>35</v>
      </c>
      <c r="J92" s="10" t="s">
        <v>25</v>
      </c>
      <c r="K92" s="10">
        <v>540</v>
      </c>
      <c r="L92" s="10" t="s">
        <v>156</v>
      </c>
    </row>
    <row r="93" spans="1:12" x14ac:dyDescent="0.25">
      <c r="A93" s="20">
        <v>93</v>
      </c>
      <c r="B93" s="10" t="s">
        <v>77</v>
      </c>
      <c r="C93" s="10" t="s">
        <v>38</v>
      </c>
      <c r="D93" s="10" t="s">
        <v>17</v>
      </c>
      <c r="E93" s="10" t="s">
        <v>18</v>
      </c>
      <c r="F93" s="10" t="s">
        <v>13</v>
      </c>
      <c r="G93" s="10">
        <v>8</v>
      </c>
      <c r="H93" s="10">
        <v>1200</v>
      </c>
      <c r="I93" s="10" t="s">
        <v>19</v>
      </c>
      <c r="J93" s="10" t="s">
        <v>15</v>
      </c>
      <c r="K93" s="10">
        <v>9600</v>
      </c>
      <c r="L93" s="10" t="s">
        <v>156</v>
      </c>
    </row>
    <row r="94" spans="1:12" x14ac:dyDescent="0.25">
      <c r="A94" s="20">
        <v>94</v>
      </c>
      <c r="B94" s="10" t="s">
        <v>82</v>
      </c>
      <c r="C94" s="10" t="s">
        <v>41</v>
      </c>
      <c r="D94" s="10" t="s">
        <v>17</v>
      </c>
      <c r="E94" s="10" t="s">
        <v>18</v>
      </c>
      <c r="F94" s="10" t="s">
        <v>13</v>
      </c>
      <c r="G94" s="10">
        <v>0</v>
      </c>
      <c r="H94" s="10">
        <v>1200</v>
      </c>
      <c r="I94" s="10" t="s">
        <v>14</v>
      </c>
      <c r="J94" s="10" t="s">
        <v>15</v>
      </c>
      <c r="K94" s="10">
        <v>0</v>
      </c>
      <c r="L94" s="10" t="s">
        <v>157</v>
      </c>
    </row>
    <row r="95" spans="1:12" x14ac:dyDescent="0.25">
      <c r="A95" s="20">
        <v>95</v>
      </c>
      <c r="B95" s="10" t="s">
        <v>139</v>
      </c>
      <c r="C95" s="10" t="s">
        <v>10</v>
      </c>
      <c r="D95" s="10" t="s">
        <v>47</v>
      </c>
      <c r="E95" s="10" t="s">
        <v>29</v>
      </c>
      <c r="F95" s="10" t="s">
        <v>30</v>
      </c>
      <c r="G95" s="10">
        <v>0</v>
      </c>
      <c r="H95" s="10">
        <v>5</v>
      </c>
      <c r="I95" s="10" t="s">
        <v>26</v>
      </c>
      <c r="J95" s="10" t="s">
        <v>15</v>
      </c>
      <c r="K95" s="10">
        <v>0</v>
      </c>
      <c r="L95" s="10" t="s">
        <v>157</v>
      </c>
    </row>
    <row r="96" spans="1:12" x14ac:dyDescent="0.25">
      <c r="A96" s="20">
        <v>96</v>
      </c>
      <c r="B96" s="10" t="s">
        <v>140</v>
      </c>
      <c r="C96" s="10" t="s">
        <v>41</v>
      </c>
      <c r="D96" s="10" t="s">
        <v>11</v>
      </c>
      <c r="E96" s="10" t="s">
        <v>12</v>
      </c>
      <c r="F96" s="10" t="s">
        <v>13</v>
      </c>
      <c r="G96" s="10">
        <v>8</v>
      </c>
      <c r="H96" s="10">
        <v>250</v>
      </c>
      <c r="I96" s="10" t="s">
        <v>19</v>
      </c>
      <c r="J96" s="10" t="s">
        <v>25</v>
      </c>
      <c r="K96" s="10">
        <v>2000</v>
      </c>
      <c r="L96" s="10" t="s">
        <v>156</v>
      </c>
    </row>
    <row r="97" spans="1:12" x14ac:dyDescent="0.25">
      <c r="A97" s="20">
        <v>97</v>
      </c>
      <c r="B97" s="10" t="s">
        <v>141</v>
      </c>
      <c r="C97" s="10" t="s">
        <v>158</v>
      </c>
      <c r="D97" s="10" t="s">
        <v>11</v>
      </c>
      <c r="E97" s="10" t="s">
        <v>33</v>
      </c>
      <c r="F97" s="10" t="s">
        <v>34</v>
      </c>
      <c r="G97" s="10">
        <v>7</v>
      </c>
      <c r="H97" s="10">
        <v>180</v>
      </c>
      <c r="I97" s="10" t="s">
        <v>35</v>
      </c>
      <c r="J97" s="10" t="s">
        <v>25</v>
      </c>
      <c r="K97" s="10">
        <v>1260</v>
      </c>
      <c r="L97" s="10" t="s">
        <v>156</v>
      </c>
    </row>
    <row r="98" spans="1:12" x14ac:dyDescent="0.25">
      <c r="A98" s="20">
        <v>98</v>
      </c>
      <c r="B98" s="10" t="s">
        <v>142</v>
      </c>
      <c r="C98" s="10" t="s">
        <v>28</v>
      </c>
      <c r="D98" s="10" t="s">
        <v>17</v>
      </c>
      <c r="E98" s="10" t="s">
        <v>29</v>
      </c>
      <c r="F98" s="10" t="s">
        <v>30</v>
      </c>
      <c r="G98" s="10">
        <v>1</v>
      </c>
      <c r="H98" s="10">
        <v>5</v>
      </c>
      <c r="I98" s="10" t="s">
        <v>26</v>
      </c>
      <c r="J98" s="10" t="s">
        <v>15</v>
      </c>
      <c r="K98" s="10">
        <v>5</v>
      </c>
      <c r="L98" s="10" t="s">
        <v>157</v>
      </c>
    </row>
    <row r="99" spans="1:12" x14ac:dyDescent="0.25">
      <c r="A99" s="20">
        <v>99</v>
      </c>
      <c r="B99" s="10" t="s">
        <v>143</v>
      </c>
      <c r="C99" s="10" t="s">
        <v>16</v>
      </c>
      <c r="D99" s="10" t="s">
        <v>11</v>
      </c>
      <c r="E99" s="10" t="s">
        <v>18</v>
      </c>
      <c r="F99" s="10" t="s">
        <v>13</v>
      </c>
      <c r="G99" s="10">
        <v>9</v>
      </c>
      <c r="H99" s="10">
        <v>1200</v>
      </c>
      <c r="I99" s="10" t="s">
        <v>26</v>
      </c>
      <c r="J99" s="10" t="s">
        <v>25</v>
      </c>
      <c r="K99" s="10">
        <v>10800</v>
      </c>
      <c r="L99" s="10" t="s">
        <v>156</v>
      </c>
    </row>
    <row r="100" spans="1:12" x14ac:dyDescent="0.25">
      <c r="A100" s="20">
        <v>100</v>
      </c>
      <c r="B100" s="10" t="s">
        <v>144</v>
      </c>
      <c r="C100" s="10" t="s">
        <v>24</v>
      </c>
      <c r="D100" s="10" t="s">
        <v>17</v>
      </c>
      <c r="E100" s="10" t="s">
        <v>18</v>
      </c>
      <c r="F100" s="10" t="s">
        <v>13</v>
      </c>
      <c r="G100" s="10">
        <v>4</v>
      </c>
      <c r="H100" s="10">
        <v>1200</v>
      </c>
      <c r="I100" s="10" t="s">
        <v>19</v>
      </c>
      <c r="J100" s="10" t="s">
        <v>27</v>
      </c>
      <c r="K100" s="10">
        <v>4800</v>
      </c>
      <c r="L100" s="10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16" sqref="D16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1" spans="1:2" x14ac:dyDescent="0.25">
      <c r="A1" s="7" t="s">
        <v>150</v>
      </c>
      <c r="B1" t="s">
        <v>152</v>
      </c>
    </row>
    <row r="2" spans="1:2" x14ac:dyDescent="0.25">
      <c r="A2" s="5" t="s">
        <v>13</v>
      </c>
      <c r="B2" s="8">
        <v>181250</v>
      </c>
    </row>
    <row r="3" spans="1:2" x14ac:dyDescent="0.25">
      <c r="A3" s="5" t="s">
        <v>34</v>
      </c>
      <c r="B3" s="8">
        <v>18115</v>
      </c>
    </row>
    <row r="4" spans="1:2" x14ac:dyDescent="0.25">
      <c r="A4" s="5" t="s">
        <v>30</v>
      </c>
      <c r="B4" s="8">
        <v>340</v>
      </c>
    </row>
    <row r="5" spans="1:2" x14ac:dyDescent="0.25">
      <c r="A5" s="5" t="s">
        <v>151</v>
      </c>
      <c r="B5" s="8">
        <v>199705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8" sqref="B18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1" spans="1:2" x14ac:dyDescent="0.25">
      <c r="A1" s="7" t="s">
        <v>8</v>
      </c>
      <c r="B1" t="s">
        <v>152</v>
      </c>
    </row>
    <row r="2" spans="1:2" x14ac:dyDescent="0.25">
      <c r="A2" s="5" t="s">
        <v>154</v>
      </c>
      <c r="B2" s="8">
        <v>17155</v>
      </c>
    </row>
    <row r="3" spans="1:2" x14ac:dyDescent="0.25">
      <c r="A3" s="5" t="s">
        <v>26</v>
      </c>
      <c r="B3" s="8">
        <v>38055</v>
      </c>
    </row>
    <row r="4" spans="1:2" x14ac:dyDescent="0.25">
      <c r="A4" s="5" t="s">
        <v>19</v>
      </c>
      <c r="B4" s="8">
        <v>40290</v>
      </c>
    </row>
    <row r="5" spans="1:2" x14ac:dyDescent="0.25">
      <c r="A5" s="5" t="s">
        <v>14</v>
      </c>
      <c r="B5" s="8">
        <v>18505</v>
      </c>
    </row>
    <row r="6" spans="1:2" x14ac:dyDescent="0.25">
      <c r="A6" s="5" t="s">
        <v>42</v>
      </c>
      <c r="B6" s="8">
        <v>30700</v>
      </c>
    </row>
    <row r="7" spans="1:2" x14ac:dyDescent="0.25">
      <c r="A7" s="5" t="s">
        <v>35</v>
      </c>
      <c r="B7" s="8">
        <v>25130</v>
      </c>
    </row>
    <row r="8" spans="1:2" x14ac:dyDescent="0.25">
      <c r="A8" s="5" t="s">
        <v>40</v>
      </c>
      <c r="B8" s="8">
        <v>29835</v>
      </c>
    </row>
    <row r="9" spans="1:2" x14ac:dyDescent="0.25">
      <c r="A9" s="5" t="s">
        <v>47</v>
      </c>
      <c r="B9" s="8">
        <v>35</v>
      </c>
    </row>
    <row r="10" spans="1:2" x14ac:dyDescent="0.25">
      <c r="A10" s="5" t="s">
        <v>151</v>
      </c>
      <c r="B10" s="8">
        <v>199705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zoomScale="106" workbookViewId="0">
      <selection activeCell="N6" sqref="N6"/>
    </sheetView>
  </sheetViews>
  <sheetFormatPr defaultRowHeight="15" x14ac:dyDescent="0.25"/>
  <cols>
    <col min="1" max="1" width="13.140625" customWidth="1"/>
    <col min="2" max="2" width="17.28515625" bestFit="1" customWidth="1"/>
  </cols>
  <sheetData>
    <row r="1" spans="1:2" x14ac:dyDescent="0.25">
      <c r="A1" s="7" t="s">
        <v>150</v>
      </c>
      <c r="B1" t="s">
        <v>152</v>
      </c>
    </row>
    <row r="2" spans="1:2" x14ac:dyDescent="0.25">
      <c r="A2" s="5" t="s">
        <v>11</v>
      </c>
      <c r="B2" s="8">
        <v>110105</v>
      </c>
    </row>
    <row r="3" spans="1:2" x14ac:dyDescent="0.25">
      <c r="A3" s="5" t="s">
        <v>17</v>
      </c>
      <c r="B3" s="8">
        <v>79230</v>
      </c>
    </row>
    <row r="4" spans="1:2" x14ac:dyDescent="0.25">
      <c r="A4" s="5" t="s">
        <v>47</v>
      </c>
      <c r="B4" s="8">
        <v>10370</v>
      </c>
    </row>
    <row r="5" spans="1:2" x14ac:dyDescent="0.25">
      <c r="A5" s="5" t="s">
        <v>151</v>
      </c>
      <c r="B5" s="8">
        <v>199705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7"/>
  <sheetViews>
    <sheetView zoomScale="103" workbookViewId="0">
      <selection activeCell="W64" sqref="W64"/>
    </sheetView>
  </sheetViews>
  <sheetFormatPr defaultRowHeight="15" x14ac:dyDescent="0.25"/>
  <cols>
    <col min="1" max="1" width="23.140625" customWidth="1"/>
    <col min="2" max="12" width="21.42578125" customWidth="1"/>
    <col min="13" max="13" width="24.28515625" customWidth="1"/>
    <col min="14" max="14" width="28.28515625" customWidth="1"/>
    <col min="15" max="16" width="21.42578125" customWidth="1"/>
    <col min="17" max="18" width="21.42578125" style="4" customWidth="1"/>
    <col min="19" max="22" width="21.42578125" customWidth="1"/>
  </cols>
  <sheetData>
    <row r="1" spans="1:2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48</v>
      </c>
      <c r="L1" s="9" t="s">
        <v>49</v>
      </c>
      <c r="M1" s="9" t="s">
        <v>50</v>
      </c>
      <c r="N1" s="9" t="s">
        <v>51</v>
      </c>
      <c r="O1" s="9" t="s">
        <v>52</v>
      </c>
      <c r="P1" s="9" t="s">
        <v>53</v>
      </c>
      <c r="Q1" s="9" t="s">
        <v>54</v>
      </c>
      <c r="R1" s="9" t="s">
        <v>55</v>
      </c>
      <c r="S1" s="9" t="s">
        <v>56</v>
      </c>
      <c r="T1" s="9" t="s">
        <v>57</v>
      </c>
      <c r="U1" s="9" t="s">
        <v>58</v>
      </c>
      <c r="V1" s="9" t="s">
        <v>153</v>
      </c>
    </row>
    <row r="2" spans="1:22" x14ac:dyDescent="0.25">
      <c r="A2" s="10">
        <v>1</v>
      </c>
      <c r="B2" s="11">
        <v>46046</v>
      </c>
      <c r="C2" s="10" t="s">
        <v>10</v>
      </c>
      <c r="D2" s="10" t="s">
        <v>11</v>
      </c>
      <c r="E2" s="10" t="s">
        <v>12</v>
      </c>
      <c r="F2" s="10" t="s">
        <v>13</v>
      </c>
      <c r="G2" s="10">
        <v>2</v>
      </c>
      <c r="H2" s="10">
        <v>250</v>
      </c>
      <c r="I2" s="10" t="s">
        <v>14</v>
      </c>
      <c r="J2" s="10" t="s">
        <v>15</v>
      </c>
      <c r="K2" s="12" t="str">
        <f>PROPER(A2)</f>
        <v>1</v>
      </c>
      <c r="L2" s="12" t="s">
        <v>59</v>
      </c>
      <c r="M2" s="10" t="str">
        <f t="shared" ref="M2:T2" si="0">PROPER(C2)</f>
        <v>Peter Doe</v>
      </c>
      <c r="N2" s="10" t="str">
        <f t="shared" si="0"/>
        <v>Female</v>
      </c>
      <c r="O2" s="10" t="str">
        <f t="shared" si="0"/>
        <v>Printer</v>
      </c>
      <c r="P2" s="10" t="str">
        <f t="shared" si="0"/>
        <v>Electronics</v>
      </c>
      <c r="Q2" s="12" t="str">
        <f t="shared" si="0"/>
        <v>2</v>
      </c>
      <c r="R2" s="12" t="str">
        <f t="shared" si="0"/>
        <v>250</v>
      </c>
      <c r="S2" s="10" t="str">
        <f t="shared" si="0"/>
        <v xml:space="preserve">Accra </v>
      </c>
      <c r="T2" s="10" t="str">
        <f t="shared" si="0"/>
        <v>Emeka</v>
      </c>
      <c r="U2" s="12">
        <f>G2*H2</f>
        <v>500</v>
      </c>
      <c r="V2" s="12" t="str">
        <f>IF(U2&gt;=500,"High","Low")</f>
        <v>High</v>
      </c>
    </row>
    <row r="3" spans="1:22" x14ac:dyDescent="0.25">
      <c r="A3" s="10">
        <v>2</v>
      </c>
      <c r="B3" s="11">
        <v>46205</v>
      </c>
      <c r="C3" s="10" t="s">
        <v>16</v>
      </c>
      <c r="D3" s="10" t="s">
        <v>17</v>
      </c>
      <c r="E3" s="10" t="s">
        <v>18</v>
      </c>
      <c r="F3" s="10" t="s">
        <v>13</v>
      </c>
      <c r="G3" s="10">
        <v>10</v>
      </c>
      <c r="H3" s="10">
        <v>1200</v>
      </c>
      <c r="I3" s="10" t="s">
        <v>19</v>
      </c>
      <c r="J3" s="10" t="s">
        <v>15</v>
      </c>
      <c r="K3" s="12" t="str">
        <f t="shared" ref="K3:K66" si="1">PROPER(A3)</f>
        <v>2</v>
      </c>
      <c r="L3" s="12" t="s">
        <v>60</v>
      </c>
      <c r="M3" s="10" t="str">
        <f t="shared" ref="M3:M66" si="2">PROPER(C3)</f>
        <v>John Mensah</v>
      </c>
      <c r="N3" s="10" t="str">
        <f t="shared" ref="N3:N66" si="3">PROPER(D3)</f>
        <v>Male</v>
      </c>
      <c r="O3" s="10" t="str">
        <f t="shared" ref="O3:O66" si="4">PROPER(E3)</f>
        <v>Laptop</v>
      </c>
      <c r="P3" s="10" t="str">
        <f t="shared" ref="P3:P66" si="5">PROPER(F3)</f>
        <v>Electronics</v>
      </c>
      <c r="Q3" s="12" t="str">
        <f t="shared" ref="Q3:Q66" si="6">PROPER(G3)</f>
        <v>10</v>
      </c>
      <c r="R3" s="12" t="str">
        <f t="shared" ref="R3:R66" si="7">PROPER(H3)</f>
        <v>1200</v>
      </c>
      <c r="S3" s="10" t="str">
        <f t="shared" ref="S3:S66" si="8">PROPER(I3)</f>
        <v>Accra</v>
      </c>
      <c r="T3" s="10" t="str">
        <f t="shared" ref="T3:T66" si="9">PROPER(J3)</f>
        <v>Emeka</v>
      </c>
      <c r="U3" s="12">
        <f t="shared" ref="U3:U66" si="10">G3*H3</f>
        <v>12000</v>
      </c>
      <c r="V3" s="12" t="str">
        <f t="shared" ref="V3:V66" si="11">IF(U3&gt;=500,"High","Low")</f>
        <v>High</v>
      </c>
    </row>
    <row r="4" spans="1:22" x14ac:dyDescent="0.25">
      <c r="A4" s="10">
        <v>3</v>
      </c>
      <c r="B4" s="11">
        <v>46211</v>
      </c>
      <c r="C4" s="10" t="s">
        <v>20</v>
      </c>
      <c r="D4" s="10" t="s">
        <v>47</v>
      </c>
      <c r="E4" s="10" t="s">
        <v>21</v>
      </c>
      <c r="F4" s="10" t="s">
        <v>13</v>
      </c>
      <c r="G4" s="10">
        <v>9</v>
      </c>
      <c r="H4" s="10">
        <v>25</v>
      </c>
      <c r="I4" s="10" t="s">
        <v>22</v>
      </c>
      <c r="J4" s="10" t="s">
        <v>23</v>
      </c>
      <c r="K4" s="12" t="str">
        <f t="shared" si="1"/>
        <v>3</v>
      </c>
      <c r="L4" s="12" t="s">
        <v>61</v>
      </c>
      <c r="M4" s="10" t="str">
        <f t="shared" si="2"/>
        <v>James Cole</v>
      </c>
      <c r="N4" s="10" t="str">
        <f t="shared" si="3"/>
        <v>Unknown</v>
      </c>
      <c r="O4" s="10" t="str">
        <f t="shared" si="4"/>
        <v>Mouse</v>
      </c>
      <c r="P4" s="10" t="str">
        <f t="shared" si="5"/>
        <v>Electronics</v>
      </c>
      <c r="Q4" s="12" t="str">
        <f t="shared" si="6"/>
        <v>9</v>
      </c>
      <c r="R4" s="12" t="str">
        <f t="shared" si="7"/>
        <v>25</v>
      </c>
      <c r="S4" s="10" t="str">
        <f t="shared" si="8"/>
        <v xml:space="preserve"> Kumasi</v>
      </c>
      <c r="T4" s="10" t="str">
        <f t="shared" si="9"/>
        <v>Bob</v>
      </c>
      <c r="U4" s="12">
        <f t="shared" si="10"/>
        <v>225</v>
      </c>
      <c r="V4" s="12" t="str">
        <f t="shared" si="11"/>
        <v>Low</v>
      </c>
    </row>
    <row r="5" spans="1:22" x14ac:dyDescent="0.25">
      <c r="A5" s="10">
        <v>4</v>
      </c>
      <c r="B5" s="11">
        <v>46182</v>
      </c>
      <c r="C5" s="10" t="s">
        <v>24</v>
      </c>
      <c r="D5" s="10" t="s">
        <v>11</v>
      </c>
      <c r="E5" s="10" t="s">
        <v>12</v>
      </c>
      <c r="F5" s="10" t="s">
        <v>13</v>
      </c>
      <c r="G5" s="10">
        <v>7</v>
      </c>
      <c r="H5" s="10">
        <v>250</v>
      </c>
      <c r="I5" s="10" t="s">
        <v>19</v>
      </c>
      <c r="J5" s="10" t="s">
        <v>25</v>
      </c>
      <c r="K5" s="12" t="str">
        <f t="shared" si="1"/>
        <v>4</v>
      </c>
      <c r="L5" s="12" t="s">
        <v>62</v>
      </c>
      <c r="M5" s="10" t="str">
        <f t="shared" si="2"/>
        <v>Kofi Asare</v>
      </c>
      <c r="N5" s="10" t="str">
        <f t="shared" si="3"/>
        <v>Female</v>
      </c>
      <c r="O5" s="10" t="str">
        <f t="shared" si="4"/>
        <v>Printer</v>
      </c>
      <c r="P5" s="10" t="str">
        <f t="shared" si="5"/>
        <v>Electronics</v>
      </c>
      <c r="Q5" s="12" t="str">
        <f t="shared" si="6"/>
        <v>7</v>
      </c>
      <c r="R5" s="12" t="str">
        <f t="shared" si="7"/>
        <v>250</v>
      </c>
      <c r="S5" s="10" t="str">
        <f t="shared" si="8"/>
        <v>Accra</v>
      </c>
      <c r="T5" s="10" t="str">
        <f t="shared" si="9"/>
        <v>Diana</v>
      </c>
      <c r="U5" s="12">
        <f t="shared" si="10"/>
        <v>1750</v>
      </c>
      <c r="V5" s="12" t="str">
        <f t="shared" si="11"/>
        <v>High</v>
      </c>
    </row>
    <row r="6" spans="1:22" x14ac:dyDescent="0.25">
      <c r="A6" s="10">
        <v>5</v>
      </c>
      <c r="B6" s="11">
        <v>46193</v>
      </c>
      <c r="C6" s="10" t="s">
        <v>10</v>
      </c>
      <c r="D6" s="10" t="s">
        <v>17</v>
      </c>
      <c r="E6" s="10" t="s">
        <v>18</v>
      </c>
      <c r="F6" s="10" t="s">
        <v>13</v>
      </c>
      <c r="G6" s="10">
        <v>6</v>
      </c>
      <c r="H6" s="10">
        <v>1200</v>
      </c>
      <c r="I6" s="10" t="s">
        <v>26</v>
      </c>
      <c r="J6" s="10" t="s">
        <v>27</v>
      </c>
      <c r="K6" s="12" t="str">
        <f t="shared" si="1"/>
        <v>5</v>
      </c>
      <c r="L6" s="12" t="s">
        <v>63</v>
      </c>
      <c r="M6" s="10" t="str">
        <f t="shared" si="2"/>
        <v>Peter Doe</v>
      </c>
      <c r="N6" s="10" t="str">
        <f t="shared" si="3"/>
        <v>Male</v>
      </c>
      <c r="O6" s="10" t="str">
        <f t="shared" si="4"/>
        <v>Laptop</v>
      </c>
      <c r="P6" s="10" t="str">
        <f t="shared" si="5"/>
        <v>Electronics</v>
      </c>
      <c r="Q6" s="12" t="str">
        <f t="shared" si="6"/>
        <v>6</v>
      </c>
      <c r="R6" s="12" t="str">
        <f t="shared" si="7"/>
        <v>1200</v>
      </c>
      <c r="S6" s="10" t="str">
        <f t="shared" si="8"/>
        <v>Abuja</v>
      </c>
      <c r="T6" s="10" t="str">
        <f t="shared" si="9"/>
        <v>Alice</v>
      </c>
      <c r="U6" s="12">
        <f t="shared" si="10"/>
        <v>7200</v>
      </c>
      <c r="V6" s="12" t="str">
        <f t="shared" si="11"/>
        <v>High</v>
      </c>
    </row>
    <row r="7" spans="1:22" x14ac:dyDescent="0.25">
      <c r="A7" s="10">
        <v>6</v>
      </c>
      <c r="B7" s="11">
        <v>46346</v>
      </c>
      <c r="C7" s="10" t="s">
        <v>28</v>
      </c>
      <c r="D7" s="10" t="s">
        <v>47</v>
      </c>
      <c r="E7" s="10" t="s">
        <v>29</v>
      </c>
      <c r="F7" s="10" t="s">
        <v>30</v>
      </c>
      <c r="G7" s="10">
        <v>5</v>
      </c>
      <c r="H7" s="10">
        <v>5</v>
      </c>
      <c r="I7" s="10" t="s">
        <v>14</v>
      </c>
      <c r="J7" s="10" t="s">
        <v>23</v>
      </c>
      <c r="K7" s="12" t="str">
        <f t="shared" si="1"/>
        <v>6</v>
      </c>
      <c r="L7" s="12" t="s">
        <v>64</v>
      </c>
      <c r="M7" s="10" t="str">
        <f t="shared" si="2"/>
        <v>Sarah Ann</v>
      </c>
      <c r="N7" s="10" t="str">
        <f t="shared" si="3"/>
        <v>Unknown</v>
      </c>
      <c r="O7" s="10" t="str">
        <f t="shared" si="4"/>
        <v>Notebook</v>
      </c>
      <c r="P7" s="10" t="str">
        <f t="shared" si="5"/>
        <v>Stationery</v>
      </c>
      <c r="Q7" s="12" t="str">
        <f t="shared" si="6"/>
        <v>5</v>
      </c>
      <c r="R7" s="12" t="str">
        <f t="shared" si="7"/>
        <v>5</v>
      </c>
      <c r="S7" s="10" t="str">
        <f t="shared" si="8"/>
        <v xml:space="preserve">Accra </v>
      </c>
      <c r="T7" s="10" t="str">
        <f t="shared" si="9"/>
        <v>Bob</v>
      </c>
      <c r="U7" s="12">
        <f t="shared" si="10"/>
        <v>25</v>
      </c>
      <c r="V7" s="12" t="str">
        <f t="shared" si="11"/>
        <v>Low</v>
      </c>
    </row>
    <row r="8" spans="1:22" x14ac:dyDescent="0.25">
      <c r="A8" s="10">
        <v>7</v>
      </c>
      <c r="B8" s="11">
        <v>46140</v>
      </c>
      <c r="C8" s="10" t="s">
        <v>31</v>
      </c>
      <c r="D8" s="10" t="s">
        <v>32</v>
      </c>
      <c r="E8" s="10" t="s">
        <v>33</v>
      </c>
      <c r="F8" s="10" t="s">
        <v>34</v>
      </c>
      <c r="G8" s="10">
        <v>2</v>
      </c>
      <c r="H8" s="10">
        <v>180</v>
      </c>
      <c r="I8" s="10" t="s">
        <v>35</v>
      </c>
      <c r="J8" s="10" t="s">
        <v>23</v>
      </c>
      <c r="K8" s="12" t="str">
        <f t="shared" si="1"/>
        <v>7</v>
      </c>
      <c r="L8" s="12" t="s">
        <v>65</v>
      </c>
      <c r="M8" s="10" t="str">
        <f t="shared" si="2"/>
        <v xml:space="preserve"> Mary Boakye </v>
      </c>
      <c r="N8" s="10" t="str">
        <f t="shared" si="3"/>
        <v>Female</v>
      </c>
      <c r="O8" s="10" t="str">
        <f t="shared" si="4"/>
        <v>Desk</v>
      </c>
      <c r="P8" s="10" t="str">
        <f t="shared" si="5"/>
        <v>Furniture</v>
      </c>
      <c r="Q8" s="12" t="str">
        <f t="shared" si="6"/>
        <v>2</v>
      </c>
      <c r="R8" s="12" t="str">
        <f t="shared" si="7"/>
        <v>180</v>
      </c>
      <c r="S8" s="10" t="str">
        <f t="shared" si="8"/>
        <v>Lagos</v>
      </c>
      <c r="T8" s="10" t="str">
        <f t="shared" si="9"/>
        <v>Bob</v>
      </c>
      <c r="U8" s="12">
        <f t="shared" si="10"/>
        <v>360</v>
      </c>
      <c r="V8" s="12" t="str">
        <f t="shared" si="11"/>
        <v>Low</v>
      </c>
    </row>
    <row r="9" spans="1:22" x14ac:dyDescent="0.25">
      <c r="A9" s="10">
        <v>8</v>
      </c>
      <c r="B9" s="11">
        <v>46134</v>
      </c>
      <c r="C9" s="10" t="s">
        <v>10</v>
      </c>
      <c r="D9" s="10" t="s">
        <v>17</v>
      </c>
      <c r="E9" s="10" t="s">
        <v>33</v>
      </c>
      <c r="F9" s="10" t="s">
        <v>34</v>
      </c>
      <c r="G9" s="10">
        <v>6</v>
      </c>
      <c r="H9" s="10">
        <v>180</v>
      </c>
      <c r="I9" s="10" t="s">
        <v>14</v>
      </c>
      <c r="J9" s="10" t="s">
        <v>23</v>
      </c>
      <c r="K9" s="12" t="str">
        <f t="shared" si="1"/>
        <v>8</v>
      </c>
      <c r="L9" s="12" t="s">
        <v>66</v>
      </c>
      <c r="M9" s="10" t="str">
        <f t="shared" si="2"/>
        <v>Peter Doe</v>
      </c>
      <c r="N9" s="10" t="str">
        <f t="shared" si="3"/>
        <v>Male</v>
      </c>
      <c r="O9" s="10" t="str">
        <f t="shared" si="4"/>
        <v>Desk</v>
      </c>
      <c r="P9" s="10" t="str">
        <f t="shared" si="5"/>
        <v>Furniture</v>
      </c>
      <c r="Q9" s="12" t="str">
        <f t="shared" si="6"/>
        <v>6</v>
      </c>
      <c r="R9" s="12" t="str">
        <f t="shared" si="7"/>
        <v>180</v>
      </c>
      <c r="S9" s="10" t="str">
        <f t="shared" si="8"/>
        <v xml:space="preserve">Accra </v>
      </c>
      <c r="T9" s="10" t="str">
        <f t="shared" si="9"/>
        <v>Bob</v>
      </c>
      <c r="U9" s="12">
        <f t="shared" si="10"/>
        <v>1080</v>
      </c>
      <c r="V9" s="12" t="str">
        <f t="shared" si="11"/>
        <v>High</v>
      </c>
    </row>
    <row r="10" spans="1:22" x14ac:dyDescent="0.25">
      <c r="A10" s="10">
        <v>9</v>
      </c>
      <c r="B10" s="11">
        <v>46212</v>
      </c>
      <c r="C10" s="10" t="s">
        <v>36</v>
      </c>
      <c r="D10" s="10" t="s">
        <v>11</v>
      </c>
      <c r="E10" s="10" t="s">
        <v>21</v>
      </c>
      <c r="F10" s="10" t="s">
        <v>13</v>
      </c>
      <c r="G10" s="10">
        <v>8</v>
      </c>
      <c r="H10" s="10">
        <v>25</v>
      </c>
      <c r="I10" s="10" t="s">
        <v>22</v>
      </c>
      <c r="J10" s="10" t="s">
        <v>27</v>
      </c>
      <c r="K10" s="12" t="str">
        <f t="shared" si="1"/>
        <v>9</v>
      </c>
      <c r="L10" s="12" t="s">
        <v>67</v>
      </c>
      <c r="M10" s="10" t="str">
        <f t="shared" si="2"/>
        <v>Grace Agyeman</v>
      </c>
      <c r="N10" s="10" t="str">
        <f t="shared" si="3"/>
        <v>Female</v>
      </c>
      <c r="O10" s="10" t="str">
        <f t="shared" si="4"/>
        <v>Mouse</v>
      </c>
      <c r="P10" s="10" t="str">
        <f t="shared" si="5"/>
        <v>Electronics</v>
      </c>
      <c r="Q10" s="12" t="str">
        <f t="shared" si="6"/>
        <v>8</v>
      </c>
      <c r="R10" s="12" t="str">
        <f t="shared" si="7"/>
        <v>25</v>
      </c>
      <c r="S10" s="10" t="str">
        <f t="shared" si="8"/>
        <v xml:space="preserve"> Kumasi</v>
      </c>
      <c r="T10" s="10" t="str">
        <f t="shared" si="9"/>
        <v>Alice</v>
      </c>
      <c r="U10" s="12">
        <f t="shared" si="10"/>
        <v>200</v>
      </c>
      <c r="V10" s="12" t="str">
        <f t="shared" si="11"/>
        <v>Low</v>
      </c>
    </row>
    <row r="11" spans="1:22" x14ac:dyDescent="0.25">
      <c r="A11" s="10">
        <v>10</v>
      </c>
      <c r="B11" s="11">
        <v>46186</v>
      </c>
      <c r="C11" s="10" t="s">
        <v>10</v>
      </c>
      <c r="D11" s="10" t="s">
        <v>17</v>
      </c>
      <c r="E11" s="10" t="s">
        <v>21</v>
      </c>
      <c r="F11" s="10" t="s">
        <v>13</v>
      </c>
      <c r="G11" s="10">
        <v>1</v>
      </c>
      <c r="H11" s="10">
        <v>25</v>
      </c>
      <c r="I11" s="10" t="s">
        <v>14</v>
      </c>
      <c r="J11" s="10" t="s">
        <v>37</v>
      </c>
      <c r="K11" s="12" t="str">
        <f t="shared" si="1"/>
        <v>10</v>
      </c>
      <c r="L11" s="12" t="s">
        <v>68</v>
      </c>
      <c r="M11" s="10" t="str">
        <f t="shared" si="2"/>
        <v>Peter Doe</v>
      </c>
      <c r="N11" s="10" t="str">
        <f t="shared" si="3"/>
        <v>Male</v>
      </c>
      <c r="O11" s="10" t="str">
        <f t="shared" si="4"/>
        <v>Mouse</v>
      </c>
      <c r="P11" s="10" t="str">
        <f t="shared" si="5"/>
        <v>Electronics</v>
      </c>
      <c r="Q11" s="12" t="str">
        <f t="shared" si="6"/>
        <v>1</v>
      </c>
      <c r="R11" s="12" t="str">
        <f t="shared" si="7"/>
        <v>25</v>
      </c>
      <c r="S11" s="10" t="str">
        <f t="shared" si="8"/>
        <v xml:space="preserve">Accra </v>
      </c>
      <c r="T11" s="10" t="str">
        <f t="shared" si="9"/>
        <v>Charles</v>
      </c>
      <c r="U11" s="12">
        <f t="shared" si="10"/>
        <v>25</v>
      </c>
      <c r="V11" s="12" t="str">
        <f t="shared" si="11"/>
        <v>Low</v>
      </c>
    </row>
    <row r="12" spans="1:22" x14ac:dyDescent="0.25">
      <c r="A12" s="10">
        <v>12</v>
      </c>
      <c r="B12" s="11">
        <v>46222</v>
      </c>
      <c r="C12" s="10" t="s">
        <v>38</v>
      </c>
      <c r="D12" s="10" t="s">
        <v>39</v>
      </c>
      <c r="E12" s="10" t="s">
        <v>33</v>
      </c>
      <c r="F12" s="10" t="s">
        <v>34</v>
      </c>
      <c r="G12" s="10">
        <v>10</v>
      </c>
      <c r="H12" s="10">
        <v>180</v>
      </c>
      <c r="I12" s="10" t="s">
        <v>40</v>
      </c>
      <c r="J12" s="10" t="s">
        <v>25</v>
      </c>
      <c r="K12" s="12" t="str">
        <f t="shared" si="1"/>
        <v>12</v>
      </c>
      <c r="L12" s="12" t="s">
        <v>69</v>
      </c>
      <c r="M12" s="10" t="str">
        <f t="shared" si="2"/>
        <v>Linda King</v>
      </c>
      <c r="N12" s="10" t="str">
        <f t="shared" si="3"/>
        <v>Male</v>
      </c>
      <c r="O12" s="10" t="str">
        <f t="shared" si="4"/>
        <v>Desk</v>
      </c>
      <c r="P12" s="10" t="str">
        <f t="shared" si="5"/>
        <v>Furniture</v>
      </c>
      <c r="Q12" s="12" t="str">
        <f t="shared" si="6"/>
        <v>10</v>
      </c>
      <c r="R12" s="12" t="str">
        <f t="shared" si="7"/>
        <v>180</v>
      </c>
      <c r="S12" s="10" t="str">
        <f t="shared" si="8"/>
        <v>Lome</v>
      </c>
      <c r="T12" s="10" t="str">
        <f t="shared" si="9"/>
        <v>Diana</v>
      </c>
      <c r="U12" s="12">
        <f t="shared" si="10"/>
        <v>1800</v>
      </c>
      <c r="V12" s="12" t="str">
        <f t="shared" si="11"/>
        <v>High</v>
      </c>
    </row>
    <row r="13" spans="1:22" x14ac:dyDescent="0.25">
      <c r="A13" s="10">
        <v>13</v>
      </c>
      <c r="B13" s="11">
        <v>46058</v>
      </c>
      <c r="C13" s="10" t="s">
        <v>24</v>
      </c>
      <c r="D13" s="10" t="s">
        <v>32</v>
      </c>
      <c r="E13" s="10" t="s">
        <v>18</v>
      </c>
      <c r="F13" s="10" t="s">
        <v>13</v>
      </c>
      <c r="G13" s="10">
        <v>1</v>
      </c>
      <c r="H13" s="10">
        <v>1200</v>
      </c>
      <c r="I13" s="10" t="s">
        <v>40</v>
      </c>
      <c r="J13" s="10" t="s">
        <v>25</v>
      </c>
      <c r="K13" s="12" t="str">
        <f t="shared" si="1"/>
        <v>13</v>
      </c>
      <c r="L13" s="12" t="s">
        <v>70</v>
      </c>
      <c r="M13" s="10" t="str">
        <f t="shared" si="2"/>
        <v>Kofi Asare</v>
      </c>
      <c r="N13" s="10" t="str">
        <f t="shared" si="3"/>
        <v>Female</v>
      </c>
      <c r="O13" s="10" t="str">
        <f t="shared" si="4"/>
        <v>Laptop</v>
      </c>
      <c r="P13" s="10" t="str">
        <f t="shared" si="5"/>
        <v>Electronics</v>
      </c>
      <c r="Q13" s="12" t="str">
        <f t="shared" si="6"/>
        <v>1</v>
      </c>
      <c r="R13" s="12" t="str">
        <f t="shared" si="7"/>
        <v>1200</v>
      </c>
      <c r="S13" s="10" t="str">
        <f t="shared" si="8"/>
        <v>Lome</v>
      </c>
      <c r="T13" s="10" t="str">
        <f t="shared" si="9"/>
        <v>Diana</v>
      </c>
      <c r="U13" s="12">
        <f t="shared" si="10"/>
        <v>1200</v>
      </c>
      <c r="V13" s="12" t="str">
        <f t="shared" si="11"/>
        <v>High</v>
      </c>
    </row>
    <row r="14" spans="1:22" x14ac:dyDescent="0.25">
      <c r="A14" s="10">
        <v>14</v>
      </c>
      <c r="B14" s="11">
        <v>46293</v>
      </c>
      <c r="C14" s="10" t="s">
        <v>16</v>
      </c>
      <c r="D14" s="10" t="s">
        <v>17</v>
      </c>
      <c r="E14" s="10" t="s">
        <v>29</v>
      </c>
      <c r="F14" s="10" t="s">
        <v>30</v>
      </c>
      <c r="G14" s="10">
        <v>5</v>
      </c>
      <c r="H14" s="10">
        <v>5</v>
      </c>
      <c r="I14" s="10" t="s">
        <v>35</v>
      </c>
      <c r="J14" s="10" t="s">
        <v>37</v>
      </c>
      <c r="K14" s="12" t="str">
        <f t="shared" si="1"/>
        <v>14</v>
      </c>
      <c r="L14" s="12" t="s">
        <v>71</v>
      </c>
      <c r="M14" s="10" t="str">
        <f t="shared" si="2"/>
        <v>John Mensah</v>
      </c>
      <c r="N14" s="10" t="str">
        <f t="shared" si="3"/>
        <v>Male</v>
      </c>
      <c r="O14" s="10" t="str">
        <f t="shared" si="4"/>
        <v>Notebook</v>
      </c>
      <c r="P14" s="10" t="str">
        <f t="shared" si="5"/>
        <v>Stationery</v>
      </c>
      <c r="Q14" s="12" t="str">
        <f t="shared" si="6"/>
        <v>5</v>
      </c>
      <c r="R14" s="12" t="str">
        <f t="shared" si="7"/>
        <v>5</v>
      </c>
      <c r="S14" s="10" t="str">
        <f t="shared" si="8"/>
        <v>Lagos</v>
      </c>
      <c r="T14" s="10" t="str">
        <f t="shared" si="9"/>
        <v>Charles</v>
      </c>
      <c r="U14" s="12">
        <f t="shared" si="10"/>
        <v>25</v>
      </c>
      <c r="V14" s="12" t="str">
        <f t="shared" si="11"/>
        <v>Low</v>
      </c>
    </row>
    <row r="15" spans="1:22" x14ac:dyDescent="0.25">
      <c r="A15" s="10">
        <v>15</v>
      </c>
      <c r="B15" s="11">
        <v>46209</v>
      </c>
      <c r="C15" s="10" t="s">
        <v>20</v>
      </c>
      <c r="D15" s="10" t="s">
        <v>17</v>
      </c>
      <c r="E15" s="10" t="s">
        <v>18</v>
      </c>
      <c r="F15" s="10" t="s">
        <v>13</v>
      </c>
      <c r="G15" s="10">
        <v>5</v>
      </c>
      <c r="H15" s="10">
        <v>1200</v>
      </c>
      <c r="I15" s="10" t="s">
        <v>35</v>
      </c>
      <c r="J15" s="10" t="s">
        <v>15</v>
      </c>
      <c r="K15" s="12" t="str">
        <f t="shared" si="1"/>
        <v>15</v>
      </c>
      <c r="L15" s="12" t="s">
        <v>72</v>
      </c>
      <c r="M15" s="10" t="str">
        <f t="shared" si="2"/>
        <v>James Cole</v>
      </c>
      <c r="N15" s="10" t="str">
        <f t="shared" si="3"/>
        <v>Male</v>
      </c>
      <c r="O15" s="10" t="str">
        <f t="shared" si="4"/>
        <v>Laptop</v>
      </c>
      <c r="P15" s="10" t="str">
        <f t="shared" si="5"/>
        <v>Electronics</v>
      </c>
      <c r="Q15" s="12" t="str">
        <f t="shared" si="6"/>
        <v>5</v>
      </c>
      <c r="R15" s="12" t="str">
        <f t="shared" si="7"/>
        <v>1200</v>
      </c>
      <c r="S15" s="10" t="str">
        <f t="shared" si="8"/>
        <v>Lagos</v>
      </c>
      <c r="T15" s="10" t="str">
        <f t="shared" si="9"/>
        <v>Emeka</v>
      </c>
      <c r="U15" s="12">
        <f t="shared" si="10"/>
        <v>6000</v>
      </c>
      <c r="V15" s="12" t="str">
        <f t="shared" si="11"/>
        <v>High</v>
      </c>
    </row>
    <row r="16" spans="1:22" x14ac:dyDescent="0.25">
      <c r="A16" s="10">
        <v>16</v>
      </c>
      <c r="B16" s="11">
        <v>46081</v>
      </c>
      <c r="C16" s="10" t="s">
        <v>10</v>
      </c>
      <c r="D16" s="10" t="s">
        <v>47</v>
      </c>
      <c r="E16" s="10" t="s">
        <v>21</v>
      </c>
      <c r="F16" s="10" t="s">
        <v>13</v>
      </c>
      <c r="G16" s="10">
        <v>9</v>
      </c>
      <c r="H16" s="10">
        <v>25</v>
      </c>
      <c r="I16" s="10" t="s">
        <v>22</v>
      </c>
      <c r="J16" s="10" t="s">
        <v>23</v>
      </c>
      <c r="K16" s="12" t="str">
        <f t="shared" si="1"/>
        <v>16</v>
      </c>
      <c r="L16" s="12" t="s">
        <v>73</v>
      </c>
      <c r="M16" s="10" t="str">
        <f t="shared" si="2"/>
        <v>Peter Doe</v>
      </c>
      <c r="N16" s="10" t="str">
        <f t="shared" si="3"/>
        <v>Unknown</v>
      </c>
      <c r="O16" s="10" t="str">
        <f t="shared" si="4"/>
        <v>Mouse</v>
      </c>
      <c r="P16" s="10" t="str">
        <f t="shared" si="5"/>
        <v>Electronics</v>
      </c>
      <c r="Q16" s="12" t="str">
        <f t="shared" si="6"/>
        <v>9</v>
      </c>
      <c r="R16" s="12" t="str">
        <f t="shared" si="7"/>
        <v>25</v>
      </c>
      <c r="S16" s="10" t="str">
        <f t="shared" si="8"/>
        <v xml:space="preserve"> Kumasi</v>
      </c>
      <c r="T16" s="10" t="str">
        <f t="shared" si="9"/>
        <v>Bob</v>
      </c>
      <c r="U16" s="12">
        <f t="shared" si="10"/>
        <v>225</v>
      </c>
      <c r="V16" s="12" t="str">
        <f t="shared" si="11"/>
        <v>Low</v>
      </c>
    </row>
    <row r="17" spans="1:22" x14ac:dyDescent="0.25">
      <c r="A17" s="10">
        <v>17</v>
      </c>
      <c r="B17" s="11">
        <v>46042</v>
      </c>
      <c r="C17" s="10" t="s">
        <v>28</v>
      </c>
      <c r="D17" s="10" t="s">
        <v>32</v>
      </c>
      <c r="E17" s="10" t="s">
        <v>29</v>
      </c>
      <c r="F17" s="10" t="s">
        <v>30</v>
      </c>
      <c r="G17" s="10">
        <v>0</v>
      </c>
      <c r="H17" s="10">
        <v>5</v>
      </c>
      <c r="I17" s="10" t="s">
        <v>22</v>
      </c>
      <c r="J17" s="10" t="s">
        <v>37</v>
      </c>
      <c r="K17" s="12" t="str">
        <f t="shared" si="1"/>
        <v>17</v>
      </c>
      <c r="L17" s="12" t="s">
        <v>74</v>
      </c>
      <c r="M17" s="10" t="str">
        <f t="shared" si="2"/>
        <v>Sarah Ann</v>
      </c>
      <c r="N17" s="10" t="str">
        <f t="shared" si="3"/>
        <v>Female</v>
      </c>
      <c r="O17" s="10" t="str">
        <f t="shared" si="4"/>
        <v>Notebook</v>
      </c>
      <c r="P17" s="10" t="str">
        <f t="shared" si="5"/>
        <v>Stationery</v>
      </c>
      <c r="Q17" s="12" t="str">
        <f t="shared" si="6"/>
        <v>0</v>
      </c>
      <c r="R17" s="12" t="str">
        <f t="shared" si="7"/>
        <v>5</v>
      </c>
      <c r="S17" s="10" t="str">
        <f t="shared" si="8"/>
        <v xml:space="preserve"> Kumasi</v>
      </c>
      <c r="T17" s="10" t="str">
        <f t="shared" si="9"/>
        <v>Charles</v>
      </c>
      <c r="U17" s="12">
        <f t="shared" si="10"/>
        <v>0</v>
      </c>
      <c r="V17" s="12" t="str">
        <f t="shared" si="11"/>
        <v>Low</v>
      </c>
    </row>
    <row r="18" spans="1:22" x14ac:dyDescent="0.25">
      <c r="A18" s="10">
        <v>18</v>
      </c>
      <c r="B18" s="11">
        <v>46131</v>
      </c>
      <c r="C18" s="10" t="s">
        <v>31</v>
      </c>
      <c r="D18" s="10" t="s">
        <v>17</v>
      </c>
      <c r="E18" s="10" t="s">
        <v>21</v>
      </c>
      <c r="F18" s="10" t="s">
        <v>13</v>
      </c>
      <c r="G18" s="10">
        <v>1</v>
      </c>
      <c r="H18" s="10">
        <v>25</v>
      </c>
      <c r="I18" s="10" t="s">
        <v>22</v>
      </c>
      <c r="J18" s="10" t="s">
        <v>15</v>
      </c>
      <c r="K18" s="12" t="str">
        <f t="shared" si="1"/>
        <v>18</v>
      </c>
      <c r="L18" s="12" t="s">
        <v>75</v>
      </c>
      <c r="M18" s="10" t="str">
        <f t="shared" si="2"/>
        <v xml:space="preserve"> Mary Boakye </v>
      </c>
      <c r="N18" s="10" t="str">
        <f t="shared" si="3"/>
        <v>Male</v>
      </c>
      <c r="O18" s="10" t="str">
        <f t="shared" si="4"/>
        <v>Mouse</v>
      </c>
      <c r="P18" s="10" t="str">
        <f t="shared" si="5"/>
        <v>Electronics</v>
      </c>
      <c r="Q18" s="12" t="str">
        <f t="shared" si="6"/>
        <v>1</v>
      </c>
      <c r="R18" s="12" t="str">
        <f t="shared" si="7"/>
        <v>25</v>
      </c>
      <c r="S18" s="10" t="str">
        <f t="shared" si="8"/>
        <v xml:space="preserve"> Kumasi</v>
      </c>
      <c r="T18" s="10" t="str">
        <f t="shared" si="9"/>
        <v>Emeka</v>
      </c>
      <c r="U18" s="12">
        <f t="shared" si="10"/>
        <v>25</v>
      </c>
      <c r="V18" s="12" t="str">
        <f t="shared" si="11"/>
        <v>Low</v>
      </c>
    </row>
    <row r="19" spans="1:22" x14ac:dyDescent="0.25">
      <c r="A19" s="10">
        <v>19</v>
      </c>
      <c r="B19" s="11">
        <v>46342</v>
      </c>
      <c r="C19" s="10" t="s">
        <v>36</v>
      </c>
      <c r="D19" s="10" t="s">
        <v>11</v>
      </c>
      <c r="E19" s="10" t="s">
        <v>21</v>
      </c>
      <c r="F19" s="10" t="s">
        <v>13</v>
      </c>
      <c r="G19" s="10">
        <v>3</v>
      </c>
      <c r="H19" s="10">
        <v>25</v>
      </c>
      <c r="I19" s="10" t="s">
        <v>26</v>
      </c>
      <c r="J19" s="10" t="s">
        <v>23</v>
      </c>
      <c r="K19" s="12" t="str">
        <f t="shared" si="1"/>
        <v>19</v>
      </c>
      <c r="L19" s="12" t="s">
        <v>76</v>
      </c>
      <c r="M19" s="10" t="str">
        <f t="shared" si="2"/>
        <v>Grace Agyeman</v>
      </c>
      <c r="N19" s="10" t="str">
        <f t="shared" si="3"/>
        <v>Female</v>
      </c>
      <c r="O19" s="10" t="str">
        <f t="shared" si="4"/>
        <v>Mouse</v>
      </c>
      <c r="P19" s="10" t="str">
        <f t="shared" si="5"/>
        <v>Electronics</v>
      </c>
      <c r="Q19" s="12" t="str">
        <f t="shared" si="6"/>
        <v>3</v>
      </c>
      <c r="R19" s="12" t="str">
        <f t="shared" si="7"/>
        <v>25</v>
      </c>
      <c r="S19" s="10" t="str">
        <f t="shared" si="8"/>
        <v>Abuja</v>
      </c>
      <c r="T19" s="10" t="str">
        <f t="shared" si="9"/>
        <v>Bob</v>
      </c>
      <c r="U19" s="12">
        <f t="shared" si="10"/>
        <v>75</v>
      </c>
      <c r="V19" s="12" t="str">
        <f t="shared" si="11"/>
        <v>Low</v>
      </c>
    </row>
    <row r="20" spans="1:22" x14ac:dyDescent="0.25">
      <c r="A20" s="10">
        <v>20</v>
      </c>
      <c r="B20" s="11">
        <v>46366</v>
      </c>
      <c r="C20" s="10" t="s">
        <v>38</v>
      </c>
      <c r="D20" s="10" t="s">
        <v>39</v>
      </c>
      <c r="E20" s="10" t="s">
        <v>29</v>
      </c>
      <c r="F20" s="10" t="s">
        <v>30</v>
      </c>
      <c r="G20" s="10">
        <v>4</v>
      </c>
      <c r="H20" s="10">
        <v>5</v>
      </c>
      <c r="I20" s="10" t="s">
        <v>19</v>
      </c>
      <c r="J20" s="10" t="s">
        <v>23</v>
      </c>
      <c r="K20" s="12" t="str">
        <f t="shared" si="1"/>
        <v>20</v>
      </c>
      <c r="L20" s="12" t="s">
        <v>77</v>
      </c>
      <c r="M20" s="10" t="str">
        <f t="shared" si="2"/>
        <v>Linda King</v>
      </c>
      <c r="N20" s="10" t="str">
        <f t="shared" si="3"/>
        <v>Male</v>
      </c>
      <c r="O20" s="10" t="str">
        <f t="shared" si="4"/>
        <v>Notebook</v>
      </c>
      <c r="P20" s="10" t="str">
        <f t="shared" si="5"/>
        <v>Stationery</v>
      </c>
      <c r="Q20" s="12" t="str">
        <f t="shared" si="6"/>
        <v>4</v>
      </c>
      <c r="R20" s="12" t="str">
        <f t="shared" si="7"/>
        <v>5</v>
      </c>
      <c r="S20" s="10" t="str">
        <f t="shared" si="8"/>
        <v>Accra</v>
      </c>
      <c r="T20" s="10" t="str">
        <f t="shared" si="9"/>
        <v>Bob</v>
      </c>
      <c r="U20" s="12">
        <f t="shared" si="10"/>
        <v>20</v>
      </c>
      <c r="V20" s="12" t="str">
        <f t="shared" si="11"/>
        <v>Low</v>
      </c>
    </row>
    <row r="21" spans="1:22" x14ac:dyDescent="0.25">
      <c r="A21" s="10">
        <v>21</v>
      </c>
      <c r="B21" s="11">
        <v>46174</v>
      </c>
      <c r="C21" s="10" t="s">
        <v>41</v>
      </c>
      <c r="D21" s="10" t="s">
        <v>47</v>
      </c>
      <c r="E21" s="10" t="s">
        <v>21</v>
      </c>
      <c r="F21" s="10" t="s">
        <v>13</v>
      </c>
      <c r="G21" s="10">
        <v>2</v>
      </c>
      <c r="H21" s="10">
        <v>25</v>
      </c>
      <c r="I21" s="10" t="s">
        <v>19</v>
      </c>
      <c r="J21" s="10" t="s">
        <v>27</v>
      </c>
      <c r="K21" s="12" t="str">
        <f t="shared" si="1"/>
        <v>21</v>
      </c>
      <c r="L21" s="12" t="s">
        <v>78</v>
      </c>
      <c r="M21" s="10" t="str">
        <f t="shared" si="2"/>
        <v>David Smith</v>
      </c>
      <c r="N21" s="10" t="str">
        <f t="shared" si="3"/>
        <v>Unknown</v>
      </c>
      <c r="O21" s="10" t="str">
        <f t="shared" si="4"/>
        <v>Mouse</v>
      </c>
      <c r="P21" s="10" t="str">
        <f t="shared" si="5"/>
        <v>Electronics</v>
      </c>
      <c r="Q21" s="12" t="str">
        <f t="shared" si="6"/>
        <v>2</v>
      </c>
      <c r="R21" s="12" t="str">
        <f t="shared" si="7"/>
        <v>25</v>
      </c>
      <c r="S21" s="10" t="str">
        <f t="shared" si="8"/>
        <v>Accra</v>
      </c>
      <c r="T21" s="10" t="str">
        <f t="shared" si="9"/>
        <v>Alice</v>
      </c>
      <c r="U21" s="12">
        <f t="shared" si="10"/>
        <v>50</v>
      </c>
      <c r="V21" s="12" t="str">
        <f t="shared" si="11"/>
        <v>Low</v>
      </c>
    </row>
    <row r="22" spans="1:22" x14ac:dyDescent="0.25">
      <c r="A22" s="10">
        <v>22</v>
      </c>
      <c r="B22" s="11">
        <v>46050</v>
      </c>
      <c r="C22" s="10" t="s">
        <v>28</v>
      </c>
      <c r="D22" s="10" t="s">
        <v>17</v>
      </c>
      <c r="E22" s="10" t="s">
        <v>21</v>
      </c>
      <c r="F22" s="10" t="s">
        <v>13</v>
      </c>
      <c r="G22" s="10">
        <v>2</v>
      </c>
      <c r="H22" s="10">
        <v>25</v>
      </c>
      <c r="I22" s="10" t="s">
        <v>26</v>
      </c>
      <c r="J22" s="10" t="s">
        <v>23</v>
      </c>
      <c r="K22" s="12" t="str">
        <f t="shared" si="1"/>
        <v>22</v>
      </c>
      <c r="L22" s="12" t="s">
        <v>79</v>
      </c>
      <c r="M22" s="10" t="str">
        <f t="shared" si="2"/>
        <v>Sarah Ann</v>
      </c>
      <c r="N22" s="10" t="str">
        <f t="shared" si="3"/>
        <v>Male</v>
      </c>
      <c r="O22" s="10" t="str">
        <f t="shared" si="4"/>
        <v>Mouse</v>
      </c>
      <c r="P22" s="10" t="str">
        <f t="shared" si="5"/>
        <v>Electronics</v>
      </c>
      <c r="Q22" s="12" t="str">
        <f t="shared" si="6"/>
        <v>2</v>
      </c>
      <c r="R22" s="12" t="str">
        <f t="shared" si="7"/>
        <v>25</v>
      </c>
      <c r="S22" s="10" t="str">
        <f t="shared" si="8"/>
        <v>Abuja</v>
      </c>
      <c r="T22" s="10" t="str">
        <f t="shared" si="9"/>
        <v>Bob</v>
      </c>
      <c r="U22" s="12">
        <f t="shared" si="10"/>
        <v>50</v>
      </c>
      <c r="V22" s="12" t="str">
        <f t="shared" si="11"/>
        <v>Low</v>
      </c>
    </row>
    <row r="23" spans="1:22" x14ac:dyDescent="0.25">
      <c r="A23" s="10">
        <v>23</v>
      </c>
      <c r="B23" s="11">
        <v>46375</v>
      </c>
      <c r="C23" s="10" t="s">
        <v>41</v>
      </c>
      <c r="D23" s="10" t="s">
        <v>32</v>
      </c>
      <c r="E23" s="10" t="s">
        <v>29</v>
      </c>
      <c r="F23" s="10" t="s">
        <v>30</v>
      </c>
      <c r="G23" s="10">
        <v>3</v>
      </c>
      <c r="H23" s="10">
        <v>5</v>
      </c>
      <c r="I23" s="10" t="s">
        <v>26</v>
      </c>
      <c r="J23" s="10" t="s">
        <v>23</v>
      </c>
      <c r="K23" s="12" t="str">
        <f t="shared" si="1"/>
        <v>23</v>
      </c>
      <c r="L23" s="12" t="s">
        <v>80</v>
      </c>
      <c r="M23" s="10" t="str">
        <f t="shared" si="2"/>
        <v>David Smith</v>
      </c>
      <c r="N23" s="10" t="str">
        <f t="shared" si="3"/>
        <v>Female</v>
      </c>
      <c r="O23" s="10" t="str">
        <f t="shared" si="4"/>
        <v>Notebook</v>
      </c>
      <c r="P23" s="10" t="str">
        <f t="shared" si="5"/>
        <v>Stationery</v>
      </c>
      <c r="Q23" s="12" t="str">
        <f t="shared" si="6"/>
        <v>3</v>
      </c>
      <c r="R23" s="12" t="str">
        <f t="shared" si="7"/>
        <v>5</v>
      </c>
      <c r="S23" s="10" t="str">
        <f t="shared" si="8"/>
        <v>Abuja</v>
      </c>
      <c r="T23" s="10" t="str">
        <f t="shared" si="9"/>
        <v>Bob</v>
      </c>
      <c r="U23" s="12">
        <f t="shared" si="10"/>
        <v>15</v>
      </c>
      <c r="V23" s="12" t="str">
        <f t="shared" si="11"/>
        <v>Low</v>
      </c>
    </row>
    <row r="24" spans="1:22" x14ac:dyDescent="0.25">
      <c r="A24" s="10">
        <v>24</v>
      </c>
      <c r="B24" s="11">
        <v>46340</v>
      </c>
      <c r="C24" s="10" t="s">
        <v>28</v>
      </c>
      <c r="D24" s="10" t="s">
        <v>32</v>
      </c>
      <c r="E24" s="10" t="s">
        <v>18</v>
      </c>
      <c r="F24" s="10" t="s">
        <v>13</v>
      </c>
      <c r="G24" s="10">
        <v>2</v>
      </c>
      <c r="H24" s="10">
        <v>1200</v>
      </c>
      <c r="I24" s="10" t="s">
        <v>19</v>
      </c>
      <c r="J24" s="10" t="s">
        <v>27</v>
      </c>
      <c r="K24" s="12" t="str">
        <f t="shared" si="1"/>
        <v>24</v>
      </c>
      <c r="L24" s="12" t="s">
        <v>81</v>
      </c>
      <c r="M24" s="10" t="str">
        <f t="shared" si="2"/>
        <v>Sarah Ann</v>
      </c>
      <c r="N24" s="10" t="str">
        <f t="shared" si="3"/>
        <v>Female</v>
      </c>
      <c r="O24" s="10" t="str">
        <f t="shared" si="4"/>
        <v>Laptop</v>
      </c>
      <c r="P24" s="10" t="str">
        <f t="shared" si="5"/>
        <v>Electronics</v>
      </c>
      <c r="Q24" s="12" t="str">
        <f t="shared" si="6"/>
        <v>2</v>
      </c>
      <c r="R24" s="12" t="str">
        <f t="shared" si="7"/>
        <v>1200</v>
      </c>
      <c r="S24" s="10" t="str">
        <f t="shared" si="8"/>
        <v>Accra</v>
      </c>
      <c r="T24" s="10" t="str">
        <f t="shared" si="9"/>
        <v>Alice</v>
      </c>
      <c r="U24" s="12">
        <f t="shared" si="10"/>
        <v>2400</v>
      </c>
      <c r="V24" s="12" t="str">
        <f t="shared" si="11"/>
        <v>High</v>
      </c>
    </row>
    <row r="25" spans="1:22" x14ac:dyDescent="0.25">
      <c r="A25" s="10">
        <v>25</v>
      </c>
      <c r="B25" s="11">
        <v>46367</v>
      </c>
      <c r="C25" s="10" t="s">
        <v>31</v>
      </c>
      <c r="D25" s="10" t="s">
        <v>11</v>
      </c>
      <c r="E25" s="10" t="s">
        <v>18</v>
      </c>
      <c r="F25" s="10" t="s">
        <v>13</v>
      </c>
      <c r="G25" s="10">
        <v>7</v>
      </c>
      <c r="H25" s="10">
        <v>1200</v>
      </c>
      <c r="I25" s="10" t="s">
        <v>42</v>
      </c>
      <c r="J25" s="10" t="s">
        <v>25</v>
      </c>
      <c r="K25" s="12" t="str">
        <f t="shared" si="1"/>
        <v>25</v>
      </c>
      <c r="L25" s="12" t="s">
        <v>82</v>
      </c>
      <c r="M25" s="10" t="str">
        <f t="shared" si="2"/>
        <v xml:space="preserve"> Mary Boakye </v>
      </c>
      <c r="N25" s="10" t="str">
        <f t="shared" si="3"/>
        <v>Female</v>
      </c>
      <c r="O25" s="10" t="str">
        <f t="shared" si="4"/>
        <v>Laptop</v>
      </c>
      <c r="P25" s="10" t="str">
        <f t="shared" si="5"/>
        <v>Electronics</v>
      </c>
      <c r="Q25" s="12" t="str">
        <f t="shared" si="6"/>
        <v>7</v>
      </c>
      <c r="R25" s="12" t="str">
        <f t="shared" si="7"/>
        <v>1200</v>
      </c>
      <c r="S25" s="10" t="str">
        <f t="shared" si="8"/>
        <v>Kumasi</v>
      </c>
      <c r="T25" s="10" t="str">
        <f t="shared" si="9"/>
        <v>Diana</v>
      </c>
      <c r="U25" s="12">
        <f t="shared" si="10"/>
        <v>8400</v>
      </c>
      <c r="V25" s="12" t="str">
        <f t="shared" si="11"/>
        <v>High</v>
      </c>
    </row>
    <row r="26" spans="1:22" x14ac:dyDescent="0.25">
      <c r="A26" s="10">
        <v>26</v>
      </c>
      <c r="B26" s="11">
        <v>46242</v>
      </c>
      <c r="C26" s="10" t="s">
        <v>31</v>
      </c>
      <c r="D26" s="10" t="s">
        <v>32</v>
      </c>
      <c r="E26" s="10" t="s">
        <v>21</v>
      </c>
      <c r="F26" s="10" t="s">
        <v>13</v>
      </c>
      <c r="G26" s="10">
        <v>5</v>
      </c>
      <c r="H26" s="10">
        <v>25</v>
      </c>
      <c r="I26" s="10" t="s">
        <v>19</v>
      </c>
      <c r="J26" s="10" t="s">
        <v>27</v>
      </c>
      <c r="K26" s="12" t="str">
        <f t="shared" si="1"/>
        <v>26</v>
      </c>
      <c r="L26" s="12" t="s">
        <v>83</v>
      </c>
      <c r="M26" s="10" t="str">
        <f t="shared" si="2"/>
        <v xml:space="preserve"> Mary Boakye </v>
      </c>
      <c r="N26" s="10" t="str">
        <f t="shared" si="3"/>
        <v>Female</v>
      </c>
      <c r="O26" s="10" t="str">
        <f t="shared" si="4"/>
        <v>Mouse</v>
      </c>
      <c r="P26" s="10" t="str">
        <f t="shared" si="5"/>
        <v>Electronics</v>
      </c>
      <c r="Q26" s="12" t="str">
        <f t="shared" si="6"/>
        <v>5</v>
      </c>
      <c r="R26" s="12" t="str">
        <f t="shared" si="7"/>
        <v>25</v>
      </c>
      <c r="S26" s="10" t="str">
        <f t="shared" si="8"/>
        <v>Accra</v>
      </c>
      <c r="T26" s="10" t="str">
        <f t="shared" si="9"/>
        <v>Alice</v>
      </c>
      <c r="U26" s="12">
        <f t="shared" si="10"/>
        <v>125</v>
      </c>
      <c r="V26" s="12" t="str">
        <f t="shared" si="11"/>
        <v>Low</v>
      </c>
    </row>
    <row r="27" spans="1:22" x14ac:dyDescent="0.25">
      <c r="A27" s="10">
        <v>27</v>
      </c>
      <c r="B27" s="11">
        <v>46025</v>
      </c>
      <c r="C27" s="10" t="s">
        <v>43</v>
      </c>
      <c r="D27" s="10" t="s">
        <v>11</v>
      </c>
      <c r="E27" s="10" t="s">
        <v>12</v>
      </c>
      <c r="F27" s="10" t="s">
        <v>13</v>
      </c>
      <c r="G27" s="10">
        <v>9</v>
      </c>
      <c r="H27" s="10">
        <v>250</v>
      </c>
      <c r="I27" s="10" t="s">
        <v>22</v>
      </c>
      <c r="J27" s="10" t="s">
        <v>25</v>
      </c>
      <c r="K27" s="12" t="str">
        <f t="shared" si="1"/>
        <v>27</v>
      </c>
      <c r="L27" s="12" t="s">
        <v>84</v>
      </c>
      <c r="M27" s="10" t="str">
        <f t="shared" si="2"/>
        <v>Ama Owusu</v>
      </c>
      <c r="N27" s="10" t="str">
        <f t="shared" si="3"/>
        <v>Female</v>
      </c>
      <c r="O27" s="10" t="str">
        <f t="shared" si="4"/>
        <v>Printer</v>
      </c>
      <c r="P27" s="10" t="str">
        <f t="shared" si="5"/>
        <v>Electronics</v>
      </c>
      <c r="Q27" s="12" t="str">
        <f t="shared" si="6"/>
        <v>9</v>
      </c>
      <c r="R27" s="12" t="str">
        <f t="shared" si="7"/>
        <v>250</v>
      </c>
      <c r="S27" s="10" t="str">
        <f t="shared" si="8"/>
        <v xml:space="preserve"> Kumasi</v>
      </c>
      <c r="T27" s="10" t="str">
        <f t="shared" si="9"/>
        <v>Diana</v>
      </c>
      <c r="U27" s="12">
        <f t="shared" si="10"/>
        <v>2250</v>
      </c>
      <c r="V27" s="12" t="str">
        <f t="shared" si="11"/>
        <v>High</v>
      </c>
    </row>
    <row r="28" spans="1:22" x14ac:dyDescent="0.25">
      <c r="A28" s="10">
        <v>28</v>
      </c>
      <c r="B28" s="11">
        <v>46204</v>
      </c>
      <c r="C28" s="10" t="s">
        <v>38</v>
      </c>
      <c r="D28" s="10" t="s">
        <v>39</v>
      </c>
      <c r="E28" s="10" t="s">
        <v>18</v>
      </c>
      <c r="F28" s="10" t="s">
        <v>13</v>
      </c>
      <c r="G28" s="10">
        <v>3</v>
      </c>
      <c r="H28" s="10">
        <v>1200</v>
      </c>
      <c r="I28" s="10" t="s">
        <v>35</v>
      </c>
      <c r="J28" s="10" t="s">
        <v>25</v>
      </c>
      <c r="K28" s="12" t="str">
        <f t="shared" si="1"/>
        <v>28</v>
      </c>
      <c r="L28" s="12" t="s">
        <v>85</v>
      </c>
      <c r="M28" s="10" t="str">
        <f t="shared" si="2"/>
        <v>Linda King</v>
      </c>
      <c r="N28" s="10" t="str">
        <f t="shared" si="3"/>
        <v>Male</v>
      </c>
      <c r="O28" s="10" t="str">
        <f t="shared" si="4"/>
        <v>Laptop</v>
      </c>
      <c r="P28" s="10" t="str">
        <f t="shared" si="5"/>
        <v>Electronics</v>
      </c>
      <c r="Q28" s="12" t="str">
        <f t="shared" si="6"/>
        <v>3</v>
      </c>
      <c r="R28" s="12" t="str">
        <f t="shared" si="7"/>
        <v>1200</v>
      </c>
      <c r="S28" s="10" t="str">
        <f t="shared" si="8"/>
        <v>Lagos</v>
      </c>
      <c r="T28" s="10" t="str">
        <f t="shared" si="9"/>
        <v>Diana</v>
      </c>
      <c r="U28" s="12">
        <f t="shared" si="10"/>
        <v>3600</v>
      </c>
      <c r="V28" s="12" t="str">
        <f t="shared" si="11"/>
        <v>High</v>
      </c>
    </row>
    <row r="29" spans="1:22" x14ac:dyDescent="0.25">
      <c r="A29" s="10">
        <v>29</v>
      </c>
      <c r="B29" s="11">
        <v>46349</v>
      </c>
      <c r="C29" s="10" t="s">
        <v>20</v>
      </c>
      <c r="D29" s="10" t="s">
        <v>11</v>
      </c>
      <c r="E29" s="10" t="s">
        <v>12</v>
      </c>
      <c r="F29" s="10" t="s">
        <v>13</v>
      </c>
      <c r="G29" s="10">
        <v>9</v>
      </c>
      <c r="H29" s="10">
        <v>250</v>
      </c>
      <c r="I29" s="10" t="s">
        <v>19</v>
      </c>
      <c r="J29" s="10" t="s">
        <v>15</v>
      </c>
      <c r="K29" s="12" t="str">
        <f t="shared" si="1"/>
        <v>29</v>
      </c>
      <c r="L29" s="12" t="s">
        <v>86</v>
      </c>
      <c r="M29" s="10" t="str">
        <f t="shared" si="2"/>
        <v>James Cole</v>
      </c>
      <c r="N29" s="10" t="str">
        <f t="shared" si="3"/>
        <v>Female</v>
      </c>
      <c r="O29" s="10" t="str">
        <f t="shared" si="4"/>
        <v>Printer</v>
      </c>
      <c r="P29" s="10" t="str">
        <f t="shared" si="5"/>
        <v>Electronics</v>
      </c>
      <c r="Q29" s="12" t="str">
        <f t="shared" si="6"/>
        <v>9</v>
      </c>
      <c r="R29" s="12" t="str">
        <f t="shared" si="7"/>
        <v>250</v>
      </c>
      <c r="S29" s="10" t="str">
        <f t="shared" si="8"/>
        <v>Accra</v>
      </c>
      <c r="T29" s="10" t="str">
        <f t="shared" si="9"/>
        <v>Emeka</v>
      </c>
      <c r="U29" s="12">
        <f t="shared" si="10"/>
        <v>2250</v>
      </c>
      <c r="V29" s="12" t="str">
        <f t="shared" si="11"/>
        <v>High</v>
      </c>
    </row>
    <row r="30" spans="1:22" x14ac:dyDescent="0.25">
      <c r="A30" s="10">
        <v>30</v>
      </c>
      <c r="B30" s="11">
        <v>46046</v>
      </c>
      <c r="C30" s="10" t="s">
        <v>28</v>
      </c>
      <c r="D30" s="10" t="s">
        <v>17</v>
      </c>
      <c r="E30" s="10" t="s">
        <v>12</v>
      </c>
      <c r="F30" s="10" t="s">
        <v>13</v>
      </c>
      <c r="G30" s="10">
        <v>9</v>
      </c>
      <c r="H30" s="10">
        <v>250</v>
      </c>
      <c r="I30" s="10" t="s">
        <v>22</v>
      </c>
      <c r="J30" s="10" t="s">
        <v>15</v>
      </c>
      <c r="K30" s="12" t="str">
        <f t="shared" si="1"/>
        <v>30</v>
      </c>
      <c r="L30" s="12" t="s">
        <v>59</v>
      </c>
      <c r="M30" s="10" t="str">
        <f t="shared" si="2"/>
        <v>Sarah Ann</v>
      </c>
      <c r="N30" s="10" t="str">
        <f t="shared" si="3"/>
        <v>Male</v>
      </c>
      <c r="O30" s="10" t="str">
        <f t="shared" si="4"/>
        <v>Printer</v>
      </c>
      <c r="P30" s="10" t="str">
        <f t="shared" si="5"/>
        <v>Electronics</v>
      </c>
      <c r="Q30" s="12" t="str">
        <f t="shared" si="6"/>
        <v>9</v>
      </c>
      <c r="R30" s="12" t="str">
        <f t="shared" si="7"/>
        <v>250</v>
      </c>
      <c r="S30" s="10" t="str">
        <f t="shared" si="8"/>
        <v xml:space="preserve"> Kumasi</v>
      </c>
      <c r="T30" s="10" t="str">
        <f t="shared" si="9"/>
        <v>Emeka</v>
      </c>
      <c r="U30" s="12">
        <f t="shared" si="10"/>
        <v>2250</v>
      </c>
      <c r="V30" s="12" t="str">
        <f t="shared" si="11"/>
        <v>High</v>
      </c>
    </row>
    <row r="31" spans="1:22" x14ac:dyDescent="0.25">
      <c r="A31" s="10">
        <v>31</v>
      </c>
      <c r="B31" s="11">
        <v>46268</v>
      </c>
      <c r="C31" s="10" t="s">
        <v>24</v>
      </c>
      <c r="D31" s="10" t="s">
        <v>17</v>
      </c>
      <c r="E31" s="10" t="s">
        <v>21</v>
      </c>
      <c r="F31" s="10" t="s">
        <v>13</v>
      </c>
      <c r="G31" s="10">
        <v>1</v>
      </c>
      <c r="H31" s="10">
        <v>25</v>
      </c>
      <c r="I31" s="10" t="s">
        <v>42</v>
      </c>
      <c r="J31" s="10" t="s">
        <v>25</v>
      </c>
      <c r="K31" s="12" t="str">
        <f t="shared" si="1"/>
        <v>31</v>
      </c>
      <c r="L31" s="12" t="s">
        <v>87</v>
      </c>
      <c r="M31" s="10" t="str">
        <f t="shared" si="2"/>
        <v>Kofi Asare</v>
      </c>
      <c r="N31" s="10" t="str">
        <f t="shared" si="3"/>
        <v>Male</v>
      </c>
      <c r="O31" s="10" t="str">
        <f t="shared" si="4"/>
        <v>Mouse</v>
      </c>
      <c r="P31" s="10" t="str">
        <f t="shared" si="5"/>
        <v>Electronics</v>
      </c>
      <c r="Q31" s="12" t="str">
        <f t="shared" si="6"/>
        <v>1</v>
      </c>
      <c r="R31" s="12" t="str">
        <f t="shared" si="7"/>
        <v>25</v>
      </c>
      <c r="S31" s="10" t="str">
        <f t="shared" si="8"/>
        <v>Kumasi</v>
      </c>
      <c r="T31" s="10" t="str">
        <f t="shared" si="9"/>
        <v>Diana</v>
      </c>
      <c r="U31" s="12">
        <f t="shared" si="10"/>
        <v>25</v>
      </c>
      <c r="V31" s="12" t="str">
        <f t="shared" si="11"/>
        <v>Low</v>
      </c>
    </row>
    <row r="32" spans="1:22" x14ac:dyDescent="0.25">
      <c r="A32" s="10">
        <v>32</v>
      </c>
      <c r="B32" s="11">
        <v>46131</v>
      </c>
      <c r="C32" s="10" t="s">
        <v>41</v>
      </c>
      <c r="D32" s="10" t="s">
        <v>17</v>
      </c>
      <c r="E32" s="10" t="s">
        <v>18</v>
      </c>
      <c r="F32" s="10" t="s">
        <v>13</v>
      </c>
      <c r="G32" s="10">
        <v>10</v>
      </c>
      <c r="H32" s="10">
        <v>1200</v>
      </c>
      <c r="I32" s="10" t="s">
        <v>40</v>
      </c>
      <c r="J32" s="10" t="s">
        <v>15</v>
      </c>
      <c r="K32" s="12" t="str">
        <f t="shared" si="1"/>
        <v>32</v>
      </c>
      <c r="L32" s="12" t="s">
        <v>75</v>
      </c>
      <c r="M32" s="10" t="str">
        <f t="shared" si="2"/>
        <v>David Smith</v>
      </c>
      <c r="N32" s="10" t="str">
        <f t="shared" si="3"/>
        <v>Male</v>
      </c>
      <c r="O32" s="10" t="str">
        <f t="shared" si="4"/>
        <v>Laptop</v>
      </c>
      <c r="P32" s="10" t="str">
        <f t="shared" si="5"/>
        <v>Electronics</v>
      </c>
      <c r="Q32" s="12" t="str">
        <f t="shared" si="6"/>
        <v>10</v>
      </c>
      <c r="R32" s="12" t="str">
        <f t="shared" si="7"/>
        <v>1200</v>
      </c>
      <c r="S32" s="10" t="str">
        <f t="shared" si="8"/>
        <v>Lome</v>
      </c>
      <c r="T32" s="10" t="str">
        <f t="shared" si="9"/>
        <v>Emeka</v>
      </c>
      <c r="U32" s="12">
        <f t="shared" si="10"/>
        <v>12000</v>
      </c>
      <c r="V32" s="12" t="str">
        <f t="shared" si="11"/>
        <v>High</v>
      </c>
    </row>
    <row r="33" spans="1:22" x14ac:dyDescent="0.25">
      <c r="A33" s="10">
        <v>33</v>
      </c>
      <c r="B33" s="11">
        <v>46149</v>
      </c>
      <c r="C33" s="10" t="s">
        <v>28</v>
      </c>
      <c r="D33" s="10" t="s">
        <v>11</v>
      </c>
      <c r="E33" s="10" t="s">
        <v>29</v>
      </c>
      <c r="F33" s="10" t="s">
        <v>30</v>
      </c>
      <c r="G33" s="10">
        <v>6</v>
      </c>
      <c r="H33" s="10">
        <v>5</v>
      </c>
      <c r="I33" s="10" t="s">
        <v>14</v>
      </c>
      <c r="J33" s="10" t="s">
        <v>37</v>
      </c>
      <c r="K33" s="12" t="str">
        <f t="shared" si="1"/>
        <v>33</v>
      </c>
      <c r="L33" s="12" t="s">
        <v>88</v>
      </c>
      <c r="M33" s="10" t="str">
        <f t="shared" si="2"/>
        <v>Sarah Ann</v>
      </c>
      <c r="N33" s="10" t="str">
        <f t="shared" si="3"/>
        <v>Female</v>
      </c>
      <c r="O33" s="10" t="str">
        <f t="shared" si="4"/>
        <v>Notebook</v>
      </c>
      <c r="P33" s="10" t="str">
        <f t="shared" si="5"/>
        <v>Stationery</v>
      </c>
      <c r="Q33" s="12" t="str">
        <f t="shared" si="6"/>
        <v>6</v>
      </c>
      <c r="R33" s="12" t="str">
        <f t="shared" si="7"/>
        <v>5</v>
      </c>
      <c r="S33" s="10" t="str">
        <f t="shared" si="8"/>
        <v xml:space="preserve">Accra </v>
      </c>
      <c r="T33" s="10" t="str">
        <f t="shared" si="9"/>
        <v>Charles</v>
      </c>
      <c r="U33" s="12">
        <f t="shared" si="10"/>
        <v>30</v>
      </c>
      <c r="V33" s="12" t="str">
        <f t="shared" si="11"/>
        <v>Low</v>
      </c>
    </row>
    <row r="34" spans="1:22" x14ac:dyDescent="0.25">
      <c r="A34" s="10">
        <v>34</v>
      </c>
      <c r="B34" s="11">
        <v>46054</v>
      </c>
      <c r="C34" s="10" t="s">
        <v>20</v>
      </c>
      <c r="D34" s="10" t="s">
        <v>47</v>
      </c>
      <c r="E34" s="10" t="s">
        <v>44</v>
      </c>
      <c r="F34" s="10" t="s">
        <v>34</v>
      </c>
      <c r="G34" s="10">
        <v>6</v>
      </c>
      <c r="H34" s="10">
        <v>95</v>
      </c>
      <c r="I34" s="10" t="s">
        <v>19</v>
      </c>
      <c r="J34" s="10" t="s">
        <v>15</v>
      </c>
      <c r="K34" s="12" t="str">
        <f t="shared" si="1"/>
        <v>34</v>
      </c>
      <c r="L34" s="12" t="s">
        <v>89</v>
      </c>
      <c r="M34" s="10" t="str">
        <f t="shared" si="2"/>
        <v>James Cole</v>
      </c>
      <c r="N34" s="10" t="str">
        <f t="shared" si="3"/>
        <v>Unknown</v>
      </c>
      <c r="O34" s="10" t="str">
        <f t="shared" si="4"/>
        <v>Chair</v>
      </c>
      <c r="P34" s="10" t="str">
        <f t="shared" si="5"/>
        <v>Furniture</v>
      </c>
      <c r="Q34" s="12" t="str">
        <f t="shared" si="6"/>
        <v>6</v>
      </c>
      <c r="R34" s="12" t="str">
        <f t="shared" si="7"/>
        <v>95</v>
      </c>
      <c r="S34" s="10" t="str">
        <f t="shared" si="8"/>
        <v>Accra</v>
      </c>
      <c r="T34" s="10" t="str">
        <f t="shared" si="9"/>
        <v>Emeka</v>
      </c>
      <c r="U34" s="12">
        <f t="shared" si="10"/>
        <v>570</v>
      </c>
      <c r="V34" s="12" t="str">
        <f t="shared" si="11"/>
        <v>High</v>
      </c>
    </row>
    <row r="35" spans="1:22" x14ac:dyDescent="0.25">
      <c r="A35" s="10">
        <v>35</v>
      </c>
      <c r="B35" s="11">
        <v>46147</v>
      </c>
      <c r="C35" s="10" t="s">
        <v>28</v>
      </c>
      <c r="D35" s="10" t="s">
        <v>17</v>
      </c>
      <c r="E35" s="10" t="s">
        <v>21</v>
      </c>
      <c r="F35" s="10" t="s">
        <v>13</v>
      </c>
      <c r="G35" s="10">
        <v>9</v>
      </c>
      <c r="H35" s="10">
        <v>25</v>
      </c>
      <c r="I35" s="10" t="s">
        <v>42</v>
      </c>
      <c r="J35" s="10" t="s">
        <v>25</v>
      </c>
      <c r="K35" s="12" t="str">
        <f t="shared" si="1"/>
        <v>35</v>
      </c>
      <c r="L35" s="12" t="s">
        <v>90</v>
      </c>
      <c r="M35" s="10" t="str">
        <f t="shared" si="2"/>
        <v>Sarah Ann</v>
      </c>
      <c r="N35" s="10" t="str">
        <f t="shared" si="3"/>
        <v>Male</v>
      </c>
      <c r="O35" s="10" t="str">
        <f t="shared" si="4"/>
        <v>Mouse</v>
      </c>
      <c r="P35" s="10" t="str">
        <f t="shared" si="5"/>
        <v>Electronics</v>
      </c>
      <c r="Q35" s="12" t="str">
        <f t="shared" si="6"/>
        <v>9</v>
      </c>
      <c r="R35" s="12" t="str">
        <f t="shared" si="7"/>
        <v>25</v>
      </c>
      <c r="S35" s="10" t="str">
        <f t="shared" si="8"/>
        <v>Kumasi</v>
      </c>
      <c r="T35" s="10" t="str">
        <f t="shared" si="9"/>
        <v>Diana</v>
      </c>
      <c r="U35" s="12">
        <f t="shared" si="10"/>
        <v>225</v>
      </c>
      <c r="V35" s="12" t="str">
        <f t="shared" si="11"/>
        <v>Low</v>
      </c>
    </row>
    <row r="36" spans="1:22" x14ac:dyDescent="0.25">
      <c r="A36" s="10">
        <v>36</v>
      </c>
      <c r="B36" s="11">
        <v>46321</v>
      </c>
      <c r="C36" s="10" t="s">
        <v>36</v>
      </c>
      <c r="D36" s="10" t="s">
        <v>17</v>
      </c>
      <c r="E36" s="10" t="s">
        <v>29</v>
      </c>
      <c r="F36" s="10" t="s">
        <v>30</v>
      </c>
      <c r="G36" s="10">
        <v>5</v>
      </c>
      <c r="H36" s="10">
        <v>5</v>
      </c>
      <c r="I36" s="10" t="s">
        <v>14</v>
      </c>
      <c r="J36" s="10" t="s">
        <v>27</v>
      </c>
      <c r="K36" s="12" t="str">
        <f t="shared" si="1"/>
        <v>36</v>
      </c>
      <c r="L36" s="12" t="s">
        <v>91</v>
      </c>
      <c r="M36" s="10" t="str">
        <f t="shared" si="2"/>
        <v>Grace Agyeman</v>
      </c>
      <c r="N36" s="10" t="str">
        <f t="shared" si="3"/>
        <v>Male</v>
      </c>
      <c r="O36" s="10" t="str">
        <f t="shared" si="4"/>
        <v>Notebook</v>
      </c>
      <c r="P36" s="10" t="str">
        <f t="shared" si="5"/>
        <v>Stationery</v>
      </c>
      <c r="Q36" s="12" t="str">
        <f t="shared" si="6"/>
        <v>5</v>
      </c>
      <c r="R36" s="12" t="str">
        <f t="shared" si="7"/>
        <v>5</v>
      </c>
      <c r="S36" s="10" t="str">
        <f t="shared" si="8"/>
        <v xml:space="preserve">Accra </v>
      </c>
      <c r="T36" s="10" t="str">
        <f t="shared" si="9"/>
        <v>Alice</v>
      </c>
      <c r="U36" s="12">
        <f t="shared" si="10"/>
        <v>25</v>
      </c>
      <c r="V36" s="12" t="str">
        <f t="shared" si="11"/>
        <v>Low</v>
      </c>
    </row>
    <row r="37" spans="1:22" x14ac:dyDescent="0.25">
      <c r="A37" s="10">
        <v>37</v>
      </c>
      <c r="B37" s="11">
        <v>46057</v>
      </c>
      <c r="C37" s="10" t="s">
        <v>36</v>
      </c>
      <c r="D37" s="10" t="s">
        <v>11</v>
      </c>
      <c r="E37" s="10" t="s">
        <v>21</v>
      </c>
      <c r="F37" s="10" t="s">
        <v>13</v>
      </c>
      <c r="G37" s="10">
        <v>5</v>
      </c>
      <c r="H37" s="10">
        <v>25</v>
      </c>
      <c r="I37" s="10" t="s">
        <v>14</v>
      </c>
      <c r="J37" s="10" t="s">
        <v>37</v>
      </c>
      <c r="K37" s="12" t="str">
        <f t="shared" si="1"/>
        <v>37</v>
      </c>
      <c r="L37" s="12" t="s">
        <v>92</v>
      </c>
      <c r="M37" s="10" t="str">
        <f t="shared" si="2"/>
        <v>Grace Agyeman</v>
      </c>
      <c r="N37" s="10" t="str">
        <f t="shared" si="3"/>
        <v>Female</v>
      </c>
      <c r="O37" s="10" t="str">
        <f t="shared" si="4"/>
        <v>Mouse</v>
      </c>
      <c r="P37" s="10" t="str">
        <f t="shared" si="5"/>
        <v>Electronics</v>
      </c>
      <c r="Q37" s="12" t="str">
        <f t="shared" si="6"/>
        <v>5</v>
      </c>
      <c r="R37" s="12" t="str">
        <f t="shared" si="7"/>
        <v>25</v>
      </c>
      <c r="S37" s="10" t="str">
        <f t="shared" si="8"/>
        <v xml:space="preserve">Accra </v>
      </c>
      <c r="T37" s="10" t="str">
        <f t="shared" si="9"/>
        <v>Charles</v>
      </c>
      <c r="U37" s="12">
        <f t="shared" si="10"/>
        <v>125</v>
      </c>
      <c r="V37" s="12" t="str">
        <f t="shared" si="11"/>
        <v>Low</v>
      </c>
    </row>
    <row r="38" spans="1:22" x14ac:dyDescent="0.25">
      <c r="A38" s="10">
        <v>38</v>
      </c>
      <c r="B38" s="11">
        <v>46281</v>
      </c>
      <c r="C38" s="10" t="s">
        <v>10</v>
      </c>
      <c r="D38" s="10" t="s">
        <v>17</v>
      </c>
      <c r="E38" s="10" t="s">
        <v>21</v>
      </c>
      <c r="F38" s="10" t="s">
        <v>13</v>
      </c>
      <c r="G38" s="10">
        <v>5</v>
      </c>
      <c r="H38" s="10">
        <v>25</v>
      </c>
      <c r="I38" s="10" t="s">
        <v>35</v>
      </c>
      <c r="J38" s="10" t="s">
        <v>27</v>
      </c>
      <c r="K38" s="12" t="str">
        <f t="shared" si="1"/>
        <v>38</v>
      </c>
      <c r="L38" s="12" t="s">
        <v>93</v>
      </c>
      <c r="M38" s="10" t="str">
        <f t="shared" si="2"/>
        <v>Peter Doe</v>
      </c>
      <c r="N38" s="10" t="str">
        <f t="shared" si="3"/>
        <v>Male</v>
      </c>
      <c r="O38" s="10" t="str">
        <f t="shared" si="4"/>
        <v>Mouse</v>
      </c>
      <c r="P38" s="10" t="str">
        <f t="shared" si="5"/>
        <v>Electronics</v>
      </c>
      <c r="Q38" s="12" t="str">
        <f t="shared" si="6"/>
        <v>5</v>
      </c>
      <c r="R38" s="12" t="str">
        <f t="shared" si="7"/>
        <v>25</v>
      </c>
      <c r="S38" s="10" t="str">
        <f t="shared" si="8"/>
        <v>Lagos</v>
      </c>
      <c r="T38" s="10" t="str">
        <f t="shared" si="9"/>
        <v>Alice</v>
      </c>
      <c r="U38" s="12">
        <f t="shared" si="10"/>
        <v>125</v>
      </c>
      <c r="V38" s="12" t="str">
        <f t="shared" si="11"/>
        <v>Low</v>
      </c>
    </row>
    <row r="39" spans="1:22" x14ac:dyDescent="0.25">
      <c r="A39" s="10">
        <v>39</v>
      </c>
      <c r="B39" s="11">
        <v>46102</v>
      </c>
      <c r="C39" s="10" t="s">
        <v>10</v>
      </c>
      <c r="D39" s="10" t="s">
        <v>11</v>
      </c>
      <c r="E39" s="10" t="s">
        <v>18</v>
      </c>
      <c r="F39" s="10" t="s">
        <v>13</v>
      </c>
      <c r="G39" s="10">
        <v>6</v>
      </c>
      <c r="H39" s="10">
        <v>1200</v>
      </c>
      <c r="I39" s="10" t="s">
        <v>26</v>
      </c>
      <c r="J39" s="10" t="s">
        <v>15</v>
      </c>
      <c r="K39" s="12" t="str">
        <f t="shared" si="1"/>
        <v>39</v>
      </c>
      <c r="L39" s="12" t="s">
        <v>94</v>
      </c>
      <c r="M39" s="10" t="str">
        <f t="shared" si="2"/>
        <v>Peter Doe</v>
      </c>
      <c r="N39" s="10" t="str">
        <f t="shared" si="3"/>
        <v>Female</v>
      </c>
      <c r="O39" s="10" t="str">
        <f t="shared" si="4"/>
        <v>Laptop</v>
      </c>
      <c r="P39" s="10" t="str">
        <f t="shared" si="5"/>
        <v>Electronics</v>
      </c>
      <c r="Q39" s="12" t="str">
        <f t="shared" si="6"/>
        <v>6</v>
      </c>
      <c r="R39" s="12" t="str">
        <f t="shared" si="7"/>
        <v>1200</v>
      </c>
      <c r="S39" s="10" t="str">
        <f t="shared" si="8"/>
        <v>Abuja</v>
      </c>
      <c r="T39" s="10" t="str">
        <f t="shared" si="9"/>
        <v>Emeka</v>
      </c>
      <c r="U39" s="12">
        <f t="shared" si="10"/>
        <v>7200</v>
      </c>
      <c r="V39" s="12" t="str">
        <f t="shared" si="11"/>
        <v>High</v>
      </c>
    </row>
    <row r="40" spans="1:22" x14ac:dyDescent="0.25">
      <c r="A40" s="10">
        <v>40</v>
      </c>
      <c r="B40" s="11">
        <v>46076</v>
      </c>
      <c r="C40" s="10" t="s">
        <v>24</v>
      </c>
      <c r="D40" s="10" t="s">
        <v>47</v>
      </c>
      <c r="E40" s="10" t="s">
        <v>18</v>
      </c>
      <c r="F40" s="10" t="s">
        <v>13</v>
      </c>
      <c r="G40" s="10">
        <v>0</v>
      </c>
      <c r="H40" s="10">
        <v>1200</v>
      </c>
      <c r="I40" s="10" t="s">
        <v>40</v>
      </c>
      <c r="J40" s="10" t="s">
        <v>23</v>
      </c>
      <c r="K40" s="12" t="str">
        <f t="shared" si="1"/>
        <v>40</v>
      </c>
      <c r="L40" s="12" t="s">
        <v>95</v>
      </c>
      <c r="M40" s="10" t="str">
        <f t="shared" si="2"/>
        <v>Kofi Asare</v>
      </c>
      <c r="N40" s="10" t="str">
        <f t="shared" si="3"/>
        <v>Unknown</v>
      </c>
      <c r="O40" s="10" t="str">
        <f t="shared" si="4"/>
        <v>Laptop</v>
      </c>
      <c r="P40" s="10" t="str">
        <f t="shared" si="5"/>
        <v>Electronics</v>
      </c>
      <c r="Q40" s="12" t="str">
        <f t="shared" si="6"/>
        <v>0</v>
      </c>
      <c r="R40" s="12" t="str">
        <f t="shared" si="7"/>
        <v>1200</v>
      </c>
      <c r="S40" s="10" t="str">
        <f t="shared" si="8"/>
        <v>Lome</v>
      </c>
      <c r="T40" s="10" t="str">
        <f t="shared" si="9"/>
        <v>Bob</v>
      </c>
      <c r="U40" s="12">
        <f t="shared" si="10"/>
        <v>0</v>
      </c>
      <c r="V40" s="12" t="str">
        <f t="shared" si="11"/>
        <v>Low</v>
      </c>
    </row>
    <row r="41" spans="1:22" x14ac:dyDescent="0.25">
      <c r="A41" s="10">
        <v>41</v>
      </c>
      <c r="B41" s="11">
        <v>46032</v>
      </c>
      <c r="C41" s="10" t="s">
        <v>28</v>
      </c>
      <c r="D41" s="10" t="s">
        <v>17</v>
      </c>
      <c r="E41" s="10" t="s">
        <v>44</v>
      </c>
      <c r="F41" s="10" t="s">
        <v>34</v>
      </c>
      <c r="G41" s="10">
        <v>3</v>
      </c>
      <c r="H41" s="10">
        <v>95</v>
      </c>
      <c r="I41" s="10" t="s">
        <v>42</v>
      </c>
      <c r="J41" s="10" t="s">
        <v>27</v>
      </c>
      <c r="K41" s="12" t="str">
        <f t="shared" si="1"/>
        <v>41</v>
      </c>
      <c r="L41" s="12" t="s">
        <v>96</v>
      </c>
      <c r="M41" s="10" t="str">
        <f t="shared" si="2"/>
        <v>Sarah Ann</v>
      </c>
      <c r="N41" s="10" t="str">
        <f t="shared" si="3"/>
        <v>Male</v>
      </c>
      <c r="O41" s="10" t="str">
        <f t="shared" si="4"/>
        <v>Chair</v>
      </c>
      <c r="P41" s="10" t="str">
        <f t="shared" si="5"/>
        <v>Furniture</v>
      </c>
      <c r="Q41" s="12" t="str">
        <f t="shared" si="6"/>
        <v>3</v>
      </c>
      <c r="R41" s="12" t="str">
        <f t="shared" si="7"/>
        <v>95</v>
      </c>
      <c r="S41" s="10" t="str">
        <f t="shared" si="8"/>
        <v>Kumasi</v>
      </c>
      <c r="T41" s="10" t="str">
        <f t="shared" si="9"/>
        <v>Alice</v>
      </c>
      <c r="U41" s="12">
        <f t="shared" si="10"/>
        <v>285</v>
      </c>
      <c r="V41" s="12" t="str">
        <f t="shared" si="11"/>
        <v>Low</v>
      </c>
    </row>
    <row r="42" spans="1:22" x14ac:dyDescent="0.25">
      <c r="A42" s="10">
        <v>42</v>
      </c>
      <c r="B42" s="11">
        <v>46223</v>
      </c>
      <c r="C42" s="10" t="s">
        <v>24</v>
      </c>
      <c r="D42" s="10" t="s">
        <v>11</v>
      </c>
      <c r="E42" s="10" t="s">
        <v>33</v>
      </c>
      <c r="F42" s="10" t="s">
        <v>34</v>
      </c>
      <c r="G42" s="10">
        <v>9</v>
      </c>
      <c r="H42" s="10">
        <v>180</v>
      </c>
      <c r="I42" s="10" t="s">
        <v>22</v>
      </c>
      <c r="J42" s="10" t="s">
        <v>23</v>
      </c>
      <c r="K42" s="12" t="str">
        <f t="shared" si="1"/>
        <v>42</v>
      </c>
      <c r="L42" s="12" t="s">
        <v>97</v>
      </c>
      <c r="M42" s="10" t="str">
        <f t="shared" si="2"/>
        <v>Kofi Asare</v>
      </c>
      <c r="N42" s="10" t="str">
        <f t="shared" si="3"/>
        <v>Female</v>
      </c>
      <c r="O42" s="10" t="str">
        <f t="shared" si="4"/>
        <v>Desk</v>
      </c>
      <c r="P42" s="10" t="str">
        <f t="shared" si="5"/>
        <v>Furniture</v>
      </c>
      <c r="Q42" s="12" t="str">
        <f t="shared" si="6"/>
        <v>9</v>
      </c>
      <c r="R42" s="12" t="str">
        <f t="shared" si="7"/>
        <v>180</v>
      </c>
      <c r="S42" s="10" t="str">
        <f t="shared" si="8"/>
        <v xml:space="preserve"> Kumasi</v>
      </c>
      <c r="T42" s="10" t="str">
        <f t="shared" si="9"/>
        <v>Bob</v>
      </c>
      <c r="U42" s="12">
        <f t="shared" si="10"/>
        <v>1620</v>
      </c>
      <c r="V42" s="12" t="str">
        <f t="shared" si="11"/>
        <v>High</v>
      </c>
    </row>
    <row r="43" spans="1:22" x14ac:dyDescent="0.25">
      <c r="A43" s="10">
        <v>43</v>
      </c>
      <c r="B43" s="11">
        <v>46105</v>
      </c>
      <c r="C43" s="10" t="s">
        <v>28</v>
      </c>
      <c r="D43" s="10" t="s">
        <v>32</v>
      </c>
      <c r="E43" s="10" t="s">
        <v>44</v>
      </c>
      <c r="F43" s="10" t="s">
        <v>34</v>
      </c>
      <c r="G43" s="10">
        <v>1</v>
      </c>
      <c r="H43" s="10">
        <v>95</v>
      </c>
      <c r="I43" s="10" t="s">
        <v>22</v>
      </c>
      <c r="J43" s="10" t="s">
        <v>23</v>
      </c>
      <c r="K43" s="12" t="str">
        <f t="shared" si="1"/>
        <v>43</v>
      </c>
      <c r="L43" s="12" t="s">
        <v>98</v>
      </c>
      <c r="M43" s="10" t="str">
        <f t="shared" si="2"/>
        <v>Sarah Ann</v>
      </c>
      <c r="N43" s="10" t="str">
        <f t="shared" si="3"/>
        <v>Female</v>
      </c>
      <c r="O43" s="10" t="str">
        <f t="shared" si="4"/>
        <v>Chair</v>
      </c>
      <c r="P43" s="10" t="str">
        <f t="shared" si="5"/>
        <v>Furniture</v>
      </c>
      <c r="Q43" s="12" t="str">
        <f t="shared" si="6"/>
        <v>1</v>
      </c>
      <c r="R43" s="12" t="str">
        <f t="shared" si="7"/>
        <v>95</v>
      </c>
      <c r="S43" s="10" t="str">
        <f t="shared" si="8"/>
        <v xml:space="preserve"> Kumasi</v>
      </c>
      <c r="T43" s="10" t="str">
        <f t="shared" si="9"/>
        <v>Bob</v>
      </c>
      <c r="U43" s="12">
        <f t="shared" si="10"/>
        <v>95</v>
      </c>
      <c r="V43" s="12" t="str">
        <f t="shared" si="11"/>
        <v>Low</v>
      </c>
    </row>
    <row r="44" spans="1:22" x14ac:dyDescent="0.25">
      <c r="A44" s="10">
        <v>44</v>
      </c>
      <c r="B44" s="11">
        <v>46360</v>
      </c>
      <c r="C44" s="10" t="s">
        <v>38</v>
      </c>
      <c r="D44" s="10" t="s">
        <v>17</v>
      </c>
      <c r="E44" s="10" t="s">
        <v>33</v>
      </c>
      <c r="F44" s="10" t="s">
        <v>34</v>
      </c>
      <c r="G44" s="10">
        <v>3</v>
      </c>
      <c r="H44" s="10">
        <v>180</v>
      </c>
      <c r="I44" s="10" t="s">
        <v>22</v>
      </c>
      <c r="J44" s="10" t="s">
        <v>25</v>
      </c>
      <c r="K44" s="12" t="str">
        <f t="shared" si="1"/>
        <v>44</v>
      </c>
      <c r="L44" s="12" t="s">
        <v>99</v>
      </c>
      <c r="M44" s="10" t="str">
        <f t="shared" si="2"/>
        <v>Linda King</v>
      </c>
      <c r="N44" s="10" t="str">
        <f t="shared" si="3"/>
        <v>Male</v>
      </c>
      <c r="O44" s="10" t="str">
        <f t="shared" si="4"/>
        <v>Desk</v>
      </c>
      <c r="P44" s="10" t="str">
        <f t="shared" si="5"/>
        <v>Furniture</v>
      </c>
      <c r="Q44" s="12" t="str">
        <f t="shared" si="6"/>
        <v>3</v>
      </c>
      <c r="R44" s="12" t="str">
        <f t="shared" si="7"/>
        <v>180</v>
      </c>
      <c r="S44" s="10" t="str">
        <f t="shared" si="8"/>
        <v xml:space="preserve"> Kumasi</v>
      </c>
      <c r="T44" s="10" t="str">
        <f t="shared" si="9"/>
        <v>Diana</v>
      </c>
      <c r="U44" s="12">
        <f t="shared" si="10"/>
        <v>540</v>
      </c>
      <c r="V44" s="12" t="str">
        <f t="shared" si="11"/>
        <v>High</v>
      </c>
    </row>
    <row r="45" spans="1:22" x14ac:dyDescent="0.25">
      <c r="A45" s="10">
        <v>45</v>
      </c>
      <c r="B45" s="11">
        <v>46120</v>
      </c>
      <c r="C45" s="10" t="s">
        <v>16</v>
      </c>
      <c r="D45" s="10" t="s">
        <v>11</v>
      </c>
      <c r="E45" s="10" t="s">
        <v>33</v>
      </c>
      <c r="F45" s="10" t="s">
        <v>34</v>
      </c>
      <c r="G45" s="10">
        <v>5</v>
      </c>
      <c r="H45" s="10">
        <v>180</v>
      </c>
      <c r="I45" s="10" t="s">
        <v>19</v>
      </c>
      <c r="J45" s="10" t="s">
        <v>37</v>
      </c>
      <c r="K45" s="12" t="str">
        <f t="shared" si="1"/>
        <v>45</v>
      </c>
      <c r="L45" s="12" t="s">
        <v>100</v>
      </c>
      <c r="M45" s="10" t="str">
        <f t="shared" si="2"/>
        <v>John Mensah</v>
      </c>
      <c r="N45" s="10" t="str">
        <f t="shared" si="3"/>
        <v>Female</v>
      </c>
      <c r="O45" s="10" t="str">
        <f t="shared" si="4"/>
        <v>Desk</v>
      </c>
      <c r="P45" s="10" t="str">
        <f t="shared" si="5"/>
        <v>Furniture</v>
      </c>
      <c r="Q45" s="12" t="str">
        <f t="shared" si="6"/>
        <v>5</v>
      </c>
      <c r="R45" s="12" t="str">
        <f t="shared" si="7"/>
        <v>180</v>
      </c>
      <c r="S45" s="10" t="str">
        <f t="shared" si="8"/>
        <v>Accra</v>
      </c>
      <c r="T45" s="10" t="str">
        <f t="shared" si="9"/>
        <v>Charles</v>
      </c>
      <c r="U45" s="12">
        <f t="shared" si="10"/>
        <v>900</v>
      </c>
      <c r="V45" s="12" t="str">
        <f t="shared" si="11"/>
        <v>High</v>
      </c>
    </row>
    <row r="46" spans="1:22" x14ac:dyDescent="0.25">
      <c r="A46" s="10">
        <v>46</v>
      </c>
      <c r="B46" s="11">
        <v>46225</v>
      </c>
      <c r="C46" s="10" t="s">
        <v>36</v>
      </c>
      <c r="D46" s="10" t="s">
        <v>39</v>
      </c>
      <c r="E46" s="10" t="s">
        <v>33</v>
      </c>
      <c r="F46" s="10" t="s">
        <v>34</v>
      </c>
      <c r="G46" s="10">
        <v>9</v>
      </c>
      <c r="H46" s="10">
        <v>180</v>
      </c>
      <c r="I46" s="10" t="s">
        <v>35</v>
      </c>
      <c r="J46" s="10" t="s">
        <v>23</v>
      </c>
      <c r="K46" s="12" t="str">
        <f t="shared" si="1"/>
        <v>46</v>
      </c>
      <c r="L46" s="12" t="s">
        <v>101</v>
      </c>
      <c r="M46" s="10" t="str">
        <f t="shared" si="2"/>
        <v>Grace Agyeman</v>
      </c>
      <c r="N46" s="10" t="str">
        <f t="shared" si="3"/>
        <v>Male</v>
      </c>
      <c r="O46" s="10" t="str">
        <f t="shared" si="4"/>
        <v>Desk</v>
      </c>
      <c r="P46" s="10" t="str">
        <f t="shared" si="5"/>
        <v>Furniture</v>
      </c>
      <c r="Q46" s="12" t="str">
        <f t="shared" si="6"/>
        <v>9</v>
      </c>
      <c r="R46" s="12" t="str">
        <f t="shared" si="7"/>
        <v>180</v>
      </c>
      <c r="S46" s="10" t="str">
        <f t="shared" si="8"/>
        <v>Lagos</v>
      </c>
      <c r="T46" s="10" t="str">
        <f t="shared" si="9"/>
        <v>Bob</v>
      </c>
      <c r="U46" s="12">
        <f t="shared" si="10"/>
        <v>1620</v>
      </c>
      <c r="V46" s="12" t="str">
        <f t="shared" si="11"/>
        <v>High</v>
      </c>
    </row>
    <row r="47" spans="1:22" x14ac:dyDescent="0.25">
      <c r="A47" s="10">
        <v>47</v>
      </c>
      <c r="B47" s="11">
        <v>46026</v>
      </c>
      <c r="C47" s="10" t="s">
        <v>41</v>
      </c>
      <c r="D47" s="10" t="s">
        <v>32</v>
      </c>
      <c r="E47" s="10" t="s">
        <v>29</v>
      </c>
      <c r="F47" s="10" t="s">
        <v>30</v>
      </c>
      <c r="G47" s="10">
        <v>5</v>
      </c>
      <c r="H47" s="10">
        <v>5</v>
      </c>
      <c r="I47" s="10" t="s">
        <v>26</v>
      </c>
      <c r="J47" s="10" t="s">
        <v>15</v>
      </c>
      <c r="K47" s="12" t="str">
        <f t="shared" si="1"/>
        <v>47</v>
      </c>
      <c r="L47" s="12" t="s">
        <v>102</v>
      </c>
      <c r="M47" s="10" t="str">
        <f t="shared" si="2"/>
        <v>David Smith</v>
      </c>
      <c r="N47" s="10" t="str">
        <f t="shared" si="3"/>
        <v>Female</v>
      </c>
      <c r="O47" s="10" t="str">
        <f t="shared" si="4"/>
        <v>Notebook</v>
      </c>
      <c r="P47" s="10" t="str">
        <f t="shared" si="5"/>
        <v>Stationery</v>
      </c>
      <c r="Q47" s="12" t="str">
        <f t="shared" si="6"/>
        <v>5</v>
      </c>
      <c r="R47" s="12" t="str">
        <f t="shared" si="7"/>
        <v>5</v>
      </c>
      <c r="S47" s="10" t="str">
        <f t="shared" si="8"/>
        <v>Abuja</v>
      </c>
      <c r="T47" s="10" t="str">
        <f t="shared" si="9"/>
        <v>Emeka</v>
      </c>
      <c r="U47" s="12">
        <f t="shared" si="10"/>
        <v>25</v>
      </c>
      <c r="V47" s="12" t="str">
        <f t="shared" si="11"/>
        <v>Low</v>
      </c>
    </row>
    <row r="48" spans="1:22" x14ac:dyDescent="0.25">
      <c r="A48" s="10">
        <v>48</v>
      </c>
      <c r="B48" s="11">
        <v>46222</v>
      </c>
      <c r="C48" s="10" t="s">
        <v>43</v>
      </c>
      <c r="D48" s="10" t="s">
        <v>39</v>
      </c>
      <c r="E48" s="10" t="s">
        <v>29</v>
      </c>
      <c r="F48" s="10" t="s">
        <v>30</v>
      </c>
      <c r="G48" s="10">
        <v>0</v>
      </c>
      <c r="H48" s="10">
        <v>5</v>
      </c>
      <c r="I48" s="10" t="s">
        <v>40</v>
      </c>
      <c r="J48" s="10" t="s">
        <v>15</v>
      </c>
      <c r="K48" s="12" t="str">
        <f t="shared" si="1"/>
        <v>48</v>
      </c>
      <c r="L48" s="12" t="s">
        <v>69</v>
      </c>
      <c r="M48" s="10" t="str">
        <f t="shared" si="2"/>
        <v>Ama Owusu</v>
      </c>
      <c r="N48" s="10" t="str">
        <f t="shared" si="3"/>
        <v>Male</v>
      </c>
      <c r="O48" s="10" t="str">
        <f t="shared" si="4"/>
        <v>Notebook</v>
      </c>
      <c r="P48" s="10" t="str">
        <f t="shared" si="5"/>
        <v>Stationery</v>
      </c>
      <c r="Q48" s="12" t="str">
        <f t="shared" si="6"/>
        <v>0</v>
      </c>
      <c r="R48" s="12" t="str">
        <f t="shared" si="7"/>
        <v>5</v>
      </c>
      <c r="S48" s="10" t="str">
        <f t="shared" si="8"/>
        <v>Lome</v>
      </c>
      <c r="T48" s="10" t="str">
        <f t="shared" si="9"/>
        <v>Emeka</v>
      </c>
      <c r="U48" s="12">
        <f t="shared" si="10"/>
        <v>0</v>
      </c>
      <c r="V48" s="12" t="str">
        <f t="shared" si="11"/>
        <v>Low</v>
      </c>
    </row>
    <row r="49" spans="1:22" x14ac:dyDescent="0.25">
      <c r="A49" s="10">
        <v>49</v>
      </c>
      <c r="B49" s="11">
        <v>46187</v>
      </c>
      <c r="C49" s="10" t="s">
        <v>31</v>
      </c>
      <c r="D49" s="10" t="s">
        <v>39</v>
      </c>
      <c r="E49" s="10" t="s">
        <v>12</v>
      </c>
      <c r="F49" s="10" t="s">
        <v>13</v>
      </c>
      <c r="G49" s="10">
        <v>4</v>
      </c>
      <c r="H49" s="10">
        <v>250</v>
      </c>
      <c r="I49" s="10" t="s">
        <v>19</v>
      </c>
      <c r="J49" s="10" t="s">
        <v>37</v>
      </c>
      <c r="K49" s="12" t="str">
        <f t="shared" si="1"/>
        <v>49</v>
      </c>
      <c r="L49" s="12" t="s">
        <v>103</v>
      </c>
      <c r="M49" s="10" t="str">
        <f t="shared" si="2"/>
        <v xml:space="preserve"> Mary Boakye </v>
      </c>
      <c r="N49" s="10" t="str">
        <f t="shared" si="3"/>
        <v>Male</v>
      </c>
      <c r="O49" s="10" t="str">
        <f t="shared" si="4"/>
        <v>Printer</v>
      </c>
      <c r="P49" s="10" t="str">
        <f t="shared" si="5"/>
        <v>Electronics</v>
      </c>
      <c r="Q49" s="12" t="str">
        <f t="shared" si="6"/>
        <v>4</v>
      </c>
      <c r="R49" s="12" t="str">
        <f t="shared" si="7"/>
        <v>250</v>
      </c>
      <c r="S49" s="10" t="str">
        <f t="shared" si="8"/>
        <v>Accra</v>
      </c>
      <c r="T49" s="10" t="str">
        <f t="shared" si="9"/>
        <v>Charles</v>
      </c>
      <c r="U49" s="12">
        <f t="shared" si="10"/>
        <v>1000</v>
      </c>
      <c r="V49" s="12" t="str">
        <f t="shared" si="11"/>
        <v>High</v>
      </c>
    </row>
    <row r="50" spans="1:22" x14ac:dyDescent="0.25">
      <c r="A50" s="10">
        <v>50</v>
      </c>
      <c r="B50" s="11">
        <v>46340</v>
      </c>
      <c r="C50" s="10" t="s">
        <v>28</v>
      </c>
      <c r="D50" s="10" t="s">
        <v>32</v>
      </c>
      <c r="E50" s="10" t="s">
        <v>29</v>
      </c>
      <c r="F50" s="10" t="s">
        <v>30</v>
      </c>
      <c r="G50" s="10">
        <v>5</v>
      </c>
      <c r="H50" s="10">
        <v>5</v>
      </c>
      <c r="I50" s="10" t="s">
        <v>42</v>
      </c>
      <c r="J50" s="10" t="s">
        <v>25</v>
      </c>
      <c r="K50" s="12" t="str">
        <f t="shared" si="1"/>
        <v>50</v>
      </c>
      <c r="L50" s="12" t="s">
        <v>81</v>
      </c>
      <c r="M50" s="10" t="str">
        <f t="shared" si="2"/>
        <v>Sarah Ann</v>
      </c>
      <c r="N50" s="10" t="str">
        <f t="shared" si="3"/>
        <v>Female</v>
      </c>
      <c r="O50" s="10" t="str">
        <f t="shared" si="4"/>
        <v>Notebook</v>
      </c>
      <c r="P50" s="10" t="str">
        <f t="shared" si="5"/>
        <v>Stationery</v>
      </c>
      <c r="Q50" s="12" t="str">
        <f t="shared" si="6"/>
        <v>5</v>
      </c>
      <c r="R50" s="12" t="str">
        <f t="shared" si="7"/>
        <v>5</v>
      </c>
      <c r="S50" s="10" t="str">
        <f t="shared" si="8"/>
        <v>Kumasi</v>
      </c>
      <c r="T50" s="10" t="str">
        <f t="shared" si="9"/>
        <v>Diana</v>
      </c>
      <c r="U50" s="12">
        <f t="shared" si="10"/>
        <v>25</v>
      </c>
      <c r="V50" s="12" t="str">
        <f t="shared" si="11"/>
        <v>Low</v>
      </c>
    </row>
    <row r="51" spans="1:22" x14ac:dyDescent="0.25">
      <c r="A51" s="10">
        <v>51</v>
      </c>
      <c r="B51" s="11">
        <v>46350</v>
      </c>
      <c r="C51" s="10" t="s">
        <v>45</v>
      </c>
      <c r="D51" s="10" t="s">
        <v>47</v>
      </c>
      <c r="E51" s="10" t="s">
        <v>12</v>
      </c>
      <c r="F51" s="10" t="s">
        <v>13</v>
      </c>
      <c r="G51" s="10">
        <v>7</v>
      </c>
      <c r="H51" s="10">
        <v>250</v>
      </c>
      <c r="I51" s="10" t="s">
        <v>22</v>
      </c>
      <c r="J51" s="10" t="s">
        <v>27</v>
      </c>
      <c r="K51" s="12" t="str">
        <f t="shared" si="1"/>
        <v>51</v>
      </c>
      <c r="L51" s="12" t="s">
        <v>104</v>
      </c>
      <c r="M51" s="10" t="str">
        <f t="shared" si="2"/>
        <v>John Mensah</v>
      </c>
      <c r="N51" s="10" t="str">
        <f t="shared" si="3"/>
        <v>Unknown</v>
      </c>
      <c r="O51" s="10" t="str">
        <f t="shared" si="4"/>
        <v>Printer</v>
      </c>
      <c r="P51" s="10" t="str">
        <f t="shared" si="5"/>
        <v>Electronics</v>
      </c>
      <c r="Q51" s="12" t="str">
        <f t="shared" si="6"/>
        <v>7</v>
      </c>
      <c r="R51" s="12" t="str">
        <f t="shared" si="7"/>
        <v>250</v>
      </c>
      <c r="S51" s="10" t="str">
        <f t="shared" si="8"/>
        <v xml:space="preserve"> Kumasi</v>
      </c>
      <c r="T51" s="10" t="str">
        <f t="shared" si="9"/>
        <v>Alice</v>
      </c>
      <c r="U51" s="12">
        <f t="shared" si="10"/>
        <v>1750</v>
      </c>
      <c r="V51" s="12" t="str">
        <f t="shared" si="11"/>
        <v>High</v>
      </c>
    </row>
    <row r="52" spans="1:22" x14ac:dyDescent="0.25">
      <c r="A52" s="10">
        <v>52</v>
      </c>
      <c r="B52" s="11">
        <v>46126</v>
      </c>
      <c r="C52" s="10" t="s">
        <v>41</v>
      </c>
      <c r="D52" s="10" t="s">
        <v>47</v>
      </c>
      <c r="E52" s="10" t="s">
        <v>33</v>
      </c>
      <c r="F52" s="10" t="s">
        <v>34</v>
      </c>
      <c r="G52" s="10">
        <v>5</v>
      </c>
      <c r="H52" s="10">
        <v>180</v>
      </c>
      <c r="I52" s="10" t="s">
        <v>26</v>
      </c>
      <c r="J52" s="10" t="s">
        <v>23</v>
      </c>
      <c r="K52" s="12" t="str">
        <f t="shared" si="1"/>
        <v>52</v>
      </c>
      <c r="L52" s="12" t="s">
        <v>105</v>
      </c>
      <c r="M52" s="10" t="str">
        <f t="shared" si="2"/>
        <v>David Smith</v>
      </c>
      <c r="N52" s="10" t="str">
        <f t="shared" si="3"/>
        <v>Unknown</v>
      </c>
      <c r="O52" s="10" t="str">
        <f t="shared" si="4"/>
        <v>Desk</v>
      </c>
      <c r="P52" s="10" t="str">
        <f t="shared" si="5"/>
        <v>Furniture</v>
      </c>
      <c r="Q52" s="12" t="str">
        <f t="shared" si="6"/>
        <v>5</v>
      </c>
      <c r="R52" s="12" t="str">
        <f t="shared" si="7"/>
        <v>180</v>
      </c>
      <c r="S52" s="10" t="str">
        <f t="shared" si="8"/>
        <v>Abuja</v>
      </c>
      <c r="T52" s="10" t="str">
        <f t="shared" si="9"/>
        <v>Bob</v>
      </c>
      <c r="U52" s="12">
        <f t="shared" si="10"/>
        <v>900</v>
      </c>
      <c r="V52" s="12" t="str">
        <f t="shared" si="11"/>
        <v>High</v>
      </c>
    </row>
    <row r="53" spans="1:22" x14ac:dyDescent="0.25">
      <c r="A53" s="10">
        <v>53</v>
      </c>
      <c r="B53" s="11">
        <v>46362</v>
      </c>
      <c r="C53" s="10" t="s">
        <v>31</v>
      </c>
      <c r="D53" s="10" t="s">
        <v>39</v>
      </c>
      <c r="E53" s="10" t="s">
        <v>29</v>
      </c>
      <c r="F53" s="10" t="s">
        <v>30</v>
      </c>
      <c r="G53" s="10">
        <v>8</v>
      </c>
      <c r="H53" s="10">
        <v>5</v>
      </c>
      <c r="I53" s="10" t="s">
        <v>35</v>
      </c>
      <c r="J53" s="10" t="s">
        <v>27</v>
      </c>
      <c r="K53" s="12" t="str">
        <f t="shared" si="1"/>
        <v>53</v>
      </c>
      <c r="L53" s="12" t="s">
        <v>106</v>
      </c>
      <c r="M53" s="10" t="str">
        <f t="shared" si="2"/>
        <v xml:space="preserve"> Mary Boakye </v>
      </c>
      <c r="N53" s="10" t="str">
        <f t="shared" si="3"/>
        <v>Male</v>
      </c>
      <c r="O53" s="10" t="str">
        <f t="shared" si="4"/>
        <v>Notebook</v>
      </c>
      <c r="P53" s="10" t="str">
        <f t="shared" si="5"/>
        <v>Stationery</v>
      </c>
      <c r="Q53" s="12" t="str">
        <f t="shared" si="6"/>
        <v>8</v>
      </c>
      <c r="R53" s="12" t="str">
        <f t="shared" si="7"/>
        <v>5</v>
      </c>
      <c r="S53" s="10" t="str">
        <f t="shared" si="8"/>
        <v>Lagos</v>
      </c>
      <c r="T53" s="10" t="str">
        <f t="shared" si="9"/>
        <v>Alice</v>
      </c>
      <c r="U53" s="12">
        <f t="shared" si="10"/>
        <v>40</v>
      </c>
      <c r="V53" s="12" t="str">
        <f t="shared" si="11"/>
        <v>Low</v>
      </c>
    </row>
    <row r="54" spans="1:22" x14ac:dyDescent="0.25">
      <c r="A54" s="10">
        <v>54</v>
      </c>
      <c r="B54" s="11">
        <v>46138</v>
      </c>
      <c r="C54" s="10" t="s">
        <v>43</v>
      </c>
      <c r="D54" s="10" t="s">
        <v>11</v>
      </c>
      <c r="E54" s="10" t="s">
        <v>21</v>
      </c>
      <c r="F54" s="10" t="s">
        <v>13</v>
      </c>
      <c r="G54" s="10">
        <v>0</v>
      </c>
      <c r="H54" s="10">
        <v>25</v>
      </c>
      <c r="I54" s="10" t="s">
        <v>26</v>
      </c>
      <c r="J54" s="10" t="s">
        <v>15</v>
      </c>
      <c r="K54" s="12" t="str">
        <f t="shared" si="1"/>
        <v>54</v>
      </c>
      <c r="L54" s="12" t="s">
        <v>107</v>
      </c>
      <c r="M54" s="10" t="str">
        <f t="shared" si="2"/>
        <v>Ama Owusu</v>
      </c>
      <c r="N54" s="10" t="str">
        <f t="shared" si="3"/>
        <v>Female</v>
      </c>
      <c r="O54" s="10" t="str">
        <f t="shared" si="4"/>
        <v>Mouse</v>
      </c>
      <c r="P54" s="10" t="str">
        <f t="shared" si="5"/>
        <v>Electronics</v>
      </c>
      <c r="Q54" s="12" t="str">
        <f t="shared" si="6"/>
        <v>0</v>
      </c>
      <c r="R54" s="12" t="str">
        <f t="shared" si="7"/>
        <v>25</v>
      </c>
      <c r="S54" s="10" t="str">
        <f t="shared" si="8"/>
        <v>Abuja</v>
      </c>
      <c r="T54" s="10" t="str">
        <f t="shared" si="9"/>
        <v>Emeka</v>
      </c>
      <c r="U54" s="12">
        <f t="shared" si="10"/>
        <v>0</v>
      </c>
      <c r="V54" s="12" t="str">
        <f t="shared" si="11"/>
        <v>Low</v>
      </c>
    </row>
    <row r="55" spans="1:22" x14ac:dyDescent="0.25">
      <c r="A55" s="10">
        <v>55</v>
      </c>
      <c r="B55" s="11">
        <v>46224</v>
      </c>
      <c r="C55" s="10" t="s">
        <v>41</v>
      </c>
      <c r="D55" s="10" t="s">
        <v>11</v>
      </c>
      <c r="E55" s="10" t="s">
        <v>18</v>
      </c>
      <c r="F55" s="10" t="s">
        <v>13</v>
      </c>
      <c r="G55" s="10">
        <v>8</v>
      </c>
      <c r="H55" s="10">
        <v>1200</v>
      </c>
      <c r="I55" s="10" t="s">
        <v>26</v>
      </c>
      <c r="J55" s="10" t="s">
        <v>23</v>
      </c>
      <c r="K55" s="12" t="str">
        <f t="shared" si="1"/>
        <v>55</v>
      </c>
      <c r="L55" s="12" t="s">
        <v>108</v>
      </c>
      <c r="M55" s="10" t="str">
        <f t="shared" si="2"/>
        <v>David Smith</v>
      </c>
      <c r="N55" s="10" t="str">
        <f t="shared" si="3"/>
        <v>Female</v>
      </c>
      <c r="O55" s="10" t="str">
        <f t="shared" si="4"/>
        <v>Laptop</v>
      </c>
      <c r="P55" s="10" t="str">
        <f t="shared" si="5"/>
        <v>Electronics</v>
      </c>
      <c r="Q55" s="12" t="str">
        <f t="shared" si="6"/>
        <v>8</v>
      </c>
      <c r="R55" s="12" t="str">
        <f t="shared" si="7"/>
        <v>1200</v>
      </c>
      <c r="S55" s="10" t="str">
        <f t="shared" si="8"/>
        <v>Abuja</v>
      </c>
      <c r="T55" s="10" t="str">
        <f t="shared" si="9"/>
        <v>Bob</v>
      </c>
      <c r="U55" s="12">
        <f t="shared" si="10"/>
        <v>9600</v>
      </c>
      <c r="V55" s="12" t="str">
        <f t="shared" si="11"/>
        <v>High</v>
      </c>
    </row>
    <row r="56" spans="1:22" x14ac:dyDescent="0.25">
      <c r="A56" s="10">
        <v>56</v>
      </c>
      <c r="B56" s="11">
        <v>46078</v>
      </c>
      <c r="C56" s="10" t="s">
        <v>38</v>
      </c>
      <c r="D56" s="10" t="s">
        <v>11</v>
      </c>
      <c r="E56" s="10" t="s">
        <v>21</v>
      </c>
      <c r="F56" s="10" t="s">
        <v>13</v>
      </c>
      <c r="G56" s="10">
        <v>1</v>
      </c>
      <c r="H56" s="10">
        <v>25</v>
      </c>
      <c r="I56" s="10" t="s">
        <v>40</v>
      </c>
      <c r="J56" s="10" t="s">
        <v>25</v>
      </c>
      <c r="K56" s="12" t="str">
        <f t="shared" si="1"/>
        <v>56</v>
      </c>
      <c r="L56" s="12" t="s">
        <v>109</v>
      </c>
      <c r="M56" s="10" t="str">
        <f t="shared" si="2"/>
        <v>Linda King</v>
      </c>
      <c r="N56" s="10" t="str">
        <f t="shared" si="3"/>
        <v>Female</v>
      </c>
      <c r="O56" s="10" t="str">
        <f t="shared" si="4"/>
        <v>Mouse</v>
      </c>
      <c r="P56" s="10" t="str">
        <f t="shared" si="5"/>
        <v>Electronics</v>
      </c>
      <c r="Q56" s="12" t="str">
        <f t="shared" si="6"/>
        <v>1</v>
      </c>
      <c r="R56" s="12" t="str">
        <f t="shared" si="7"/>
        <v>25</v>
      </c>
      <c r="S56" s="10" t="str">
        <f t="shared" si="8"/>
        <v>Lome</v>
      </c>
      <c r="T56" s="10" t="str">
        <f t="shared" si="9"/>
        <v>Diana</v>
      </c>
      <c r="U56" s="12">
        <f t="shared" si="10"/>
        <v>25</v>
      </c>
      <c r="V56" s="12" t="str">
        <f t="shared" si="11"/>
        <v>Low</v>
      </c>
    </row>
    <row r="57" spans="1:22" x14ac:dyDescent="0.25">
      <c r="A57" s="10">
        <v>57</v>
      </c>
      <c r="B57" s="11">
        <v>46140</v>
      </c>
      <c r="C57" s="10" t="s">
        <v>31</v>
      </c>
      <c r="D57" s="10" t="s">
        <v>32</v>
      </c>
      <c r="E57" s="10" t="s">
        <v>18</v>
      </c>
      <c r="F57" s="10" t="s">
        <v>13</v>
      </c>
      <c r="G57" s="10">
        <v>9</v>
      </c>
      <c r="H57" s="10">
        <v>1200</v>
      </c>
      <c r="I57" s="10" t="s">
        <v>40</v>
      </c>
      <c r="J57" s="10" t="s">
        <v>15</v>
      </c>
      <c r="K57" s="12" t="str">
        <f t="shared" si="1"/>
        <v>57</v>
      </c>
      <c r="L57" s="12" t="s">
        <v>65</v>
      </c>
      <c r="M57" s="10" t="str">
        <f t="shared" si="2"/>
        <v xml:space="preserve"> Mary Boakye </v>
      </c>
      <c r="N57" s="10" t="str">
        <f t="shared" si="3"/>
        <v>Female</v>
      </c>
      <c r="O57" s="10" t="str">
        <f t="shared" si="4"/>
        <v>Laptop</v>
      </c>
      <c r="P57" s="10" t="str">
        <f t="shared" si="5"/>
        <v>Electronics</v>
      </c>
      <c r="Q57" s="12" t="str">
        <f t="shared" si="6"/>
        <v>9</v>
      </c>
      <c r="R57" s="12" t="str">
        <f t="shared" si="7"/>
        <v>1200</v>
      </c>
      <c r="S57" s="10" t="str">
        <f t="shared" si="8"/>
        <v>Lome</v>
      </c>
      <c r="T57" s="10" t="str">
        <f t="shared" si="9"/>
        <v>Emeka</v>
      </c>
      <c r="U57" s="12">
        <f t="shared" si="10"/>
        <v>10800</v>
      </c>
      <c r="V57" s="12" t="str">
        <f t="shared" si="11"/>
        <v>High</v>
      </c>
    </row>
    <row r="58" spans="1:22" x14ac:dyDescent="0.25">
      <c r="A58" s="10">
        <v>58</v>
      </c>
      <c r="B58" s="11">
        <v>46254</v>
      </c>
      <c r="C58" s="10" t="s">
        <v>36</v>
      </c>
      <c r="D58" s="10" t="s">
        <v>32</v>
      </c>
      <c r="E58" s="10" t="s">
        <v>29</v>
      </c>
      <c r="F58" s="10" t="s">
        <v>30</v>
      </c>
      <c r="G58" s="10">
        <v>6</v>
      </c>
      <c r="H58" s="10">
        <v>5</v>
      </c>
      <c r="I58" s="10" t="s">
        <v>42</v>
      </c>
      <c r="J58" s="10" t="s">
        <v>25</v>
      </c>
      <c r="K58" s="12" t="str">
        <f t="shared" si="1"/>
        <v>58</v>
      </c>
      <c r="L58" s="12" t="s">
        <v>110</v>
      </c>
      <c r="M58" s="10" t="str">
        <f t="shared" si="2"/>
        <v>Grace Agyeman</v>
      </c>
      <c r="N58" s="10" t="str">
        <f t="shared" si="3"/>
        <v>Female</v>
      </c>
      <c r="O58" s="10" t="str">
        <f t="shared" si="4"/>
        <v>Notebook</v>
      </c>
      <c r="P58" s="10" t="str">
        <f t="shared" si="5"/>
        <v>Stationery</v>
      </c>
      <c r="Q58" s="12" t="str">
        <f t="shared" si="6"/>
        <v>6</v>
      </c>
      <c r="R58" s="12" t="str">
        <f t="shared" si="7"/>
        <v>5</v>
      </c>
      <c r="S58" s="10" t="str">
        <f t="shared" si="8"/>
        <v>Kumasi</v>
      </c>
      <c r="T58" s="10" t="str">
        <f t="shared" si="9"/>
        <v>Diana</v>
      </c>
      <c r="U58" s="12">
        <f t="shared" si="10"/>
        <v>30</v>
      </c>
      <c r="V58" s="12" t="str">
        <f t="shared" si="11"/>
        <v>Low</v>
      </c>
    </row>
    <row r="59" spans="1:22" x14ac:dyDescent="0.25">
      <c r="A59" s="10">
        <v>59</v>
      </c>
      <c r="B59" s="11">
        <v>46139</v>
      </c>
      <c r="C59" s="10" t="s">
        <v>10</v>
      </c>
      <c r="D59" s="10" t="s">
        <v>47</v>
      </c>
      <c r="E59" s="10" t="s">
        <v>44</v>
      </c>
      <c r="F59" s="10" t="s">
        <v>34</v>
      </c>
      <c r="G59" s="10">
        <v>5</v>
      </c>
      <c r="H59" s="10">
        <v>95</v>
      </c>
      <c r="I59" s="10" t="s">
        <v>26</v>
      </c>
      <c r="J59" s="10" t="s">
        <v>27</v>
      </c>
      <c r="K59" s="12" t="str">
        <f t="shared" si="1"/>
        <v>59</v>
      </c>
      <c r="L59" s="12" t="s">
        <v>111</v>
      </c>
      <c r="M59" s="10" t="str">
        <f t="shared" si="2"/>
        <v>Peter Doe</v>
      </c>
      <c r="N59" s="10" t="str">
        <f t="shared" si="3"/>
        <v>Unknown</v>
      </c>
      <c r="O59" s="10" t="str">
        <f t="shared" si="4"/>
        <v>Chair</v>
      </c>
      <c r="P59" s="10" t="str">
        <f t="shared" si="5"/>
        <v>Furniture</v>
      </c>
      <c r="Q59" s="12" t="str">
        <f t="shared" si="6"/>
        <v>5</v>
      </c>
      <c r="R59" s="12" t="str">
        <f t="shared" si="7"/>
        <v>95</v>
      </c>
      <c r="S59" s="10" t="str">
        <f t="shared" si="8"/>
        <v>Abuja</v>
      </c>
      <c r="T59" s="10" t="str">
        <f t="shared" si="9"/>
        <v>Alice</v>
      </c>
      <c r="U59" s="12">
        <f t="shared" si="10"/>
        <v>475</v>
      </c>
      <c r="V59" s="12" t="str">
        <f t="shared" si="11"/>
        <v>Low</v>
      </c>
    </row>
    <row r="60" spans="1:22" x14ac:dyDescent="0.25">
      <c r="A60" s="10">
        <v>60</v>
      </c>
      <c r="B60" s="11">
        <v>46121</v>
      </c>
      <c r="C60" s="10" t="s">
        <v>28</v>
      </c>
      <c r="D60" s="10" t="s">
        <v>39</v>
      </c>
      <c r="E60" s="10" t="s">
        <v>12</v>
      </c>
      <c r="F60" s="10" t="s">
        <v>13</v>
      </c>
      <c r="G60" s="10">
        <v>5</v>
      </c>
      <c r="H60" s="10">
        <v>250</v>
      </c>
      <c r="I60" s="10" t="s">
        <v>42</v>
      </c>
      <c r="J60" s="10" t="s">
        <v>23</v>
      </c>
      <c r="K60" s="12" t="str">
        <f t="shared" si="1"/>
        <v>60</v>
      </c>
      <c r="L60" s="12" t="s">
        <v>112</v>
      </c>
      <c r="M60" s="10" t="str">
        <f t="shared" si="2"/>
        <v>Sarah Ann</v>
      </c>
      <c r="N60" s="10" t="str">
        <f t="shared" si="3"/>
        <v>Male</v>
      </c>
      <c r="O60" s="10" t="str">
        <f t="shared" si="4"/>
        <v>Printer</v>
      </c>
      <c r="P60" s="10" t="str">
        <f t="shared" si="5"/>
        <v>Electronics</v>
      </c>
      <c r="Q60" s="12" t="str">
        <f t="shared" si="6"/>
        <v>5</v>
      </c>
      <c r="R60" s="12" t="str">
        <f t="shared" si="7"/>
        <v>250</v>
      </c>
      <c r="S60" s="10" t="str">
        <f t="shared" si="8"/>
        <v>Kumasi</v>
      </c>
      <c r="T60" s="10" t="str">
        <f t="shared" si="9"/>
        <v>Bob</v>
      </c>
      <c r="U60" s="12">
        <f t="shared" si="10"/>
        <v>1250</v>
      </c>
      <c r="V60" s="12" t="str">
        <f t="shared" si="11"/>
        <v>High</v>
      </c>
    </row>
    <row r="61" spans="1:22" x14ac:dyDescent="0.25">
      <c r="A61" s="10">
        <v>61</v>
      </c>
      <c r="B61" s="11">
        <v>46363</v>
      </c>
      <c r="C61" s="10" t="s">
        <v>31</v>
      </c>
      <c r="D61" s="10" t="s">
        <v>32</v>
      </c>
      <c r="E61" s="10" t="s">
        <v>44</v>
      </c>
      <c r="F61" s="10" t="s">
        <v>34</v>
      </c>
      <c r="G61" s="10">
        <v>3</v>
      </c>
      <c r="H61" s="10">
        <v>95</v>
      </c>
      <c r="I61" s="10" t="s">
        <v>26</v>
      </c>
      <c r="J61" s="10" t="s">
        <v>27</v>
      </c>
      <c r="K61" s="12" t="str">
        <f t="shared" si="1"/>
        <v>61</v>
      </c>
      <c r="L61" s="12" t="s">
        <v>113</v>
      </c>
      <c r="M61" s="10" t="str">
        <f t="shared" si="2"/>
        <v xml:space="preserve"> Mary Boakye </v>
      </c>
      <c r="N61" s="10" t="str">
        <f t="shared" si="3"/>
        <v>Female</v>
      </c>
      <c r="O61" s="10" t="str">
        <f t="shared" si="4"/>
        <v>Chair</v>
      </c>
      <c r="P61" s="10" t="str">
        <f t="shared" si="5"/>
        <v>Furniture</v>
      </c>
      <c r="Q61" s="12" t="str">
        <f t="shared" si="6"/>
        <v>3</v>
      </c>
      <c r="R61" s="12" t="str">
        <f t="shared" si="7"/>
        <v>95</v>
      </c>
      <c r="S61" s="10" t="str">
        <f t="shared" si="8"/>
        <v>Abuja</v>
      </c>
      <c r="T61" s="10" t="str">
        <f t="shared" si="9"/>
        <v>Alice</v>
      </c>
      <c r="U61" s="12">
        <f t="shared" si="10"/>
        <v>285</v>
      </c>
      <c r="V61" s="12" t="str">
        <f t="shared" si="11"/>
        <v>Low</v>
      </c>
    </row>
    <row r="62" spans="1:22" x14ac:dyDescent="0.25">
      <c r="A62" s="10">
        <v>62</v>
      </c>
      <c r="B62" s="11">
        <v>46228</v>
      </c>
      <c r="C62" s="10" t="s">
        <v>41</v>
      </c>
      <c r="D62" s="10" t="s">
        <v>17</v>
      </c>
      <c r="E62" s="10" t="s">
        <v>21</v>
      </c>
      <c r="F62" s="10" t="s">
        <v>13</v>
      </c>
      <c r="G62" s="10">
        <v>7</v>
      </c>
      <c r="H62" s="10">
        <v>25</v>
      </c>
      <c r="I62" s="10" t="s">
        <v>26</v>
      </c>
      <c r="J62" s="10" t="s">
        <v>25</v>
      </c>
      <c r="K62" s="12" t="str">
        <f t="shared" si="1"/>
        <v>62</v>
      </c>
      <c r="L62" s="12" t="s">
        <v>114</v>
      </c>
      <c r="M62" s="10" t="str">
        <f t="shared" si="2"/>
        <v>David Smith</v>
      </c>
      <c r="N62" s="10" t="str">
        <f t="shared" si="3"/>
        <v>Male</v>
      </c>
      <c r="O62" s="10" t="str">
        <f t="shared" si="4"/>
        <v>Mouse</v>
      </c>
      <c r="P62" s="10" t="str">
        <f t="shared" si="5"/>
        <v>Electronics</v>
      </c>
      <c r="Q62" s="12" t="str">
        <f t="shared" si="6"/>
        <v>7</v>
      </c>
      <c r="R62" s="12" t="str">
        <f t="shared" si="7"/>
        <v>25</v>
      </c>
      <c r="S62" s="10" t="str">
        <f t="shared" si="8"/>
        <v>Abuja</v>
      </c>
      <c r="T62" s="10" t="str">
        <f t="shared" si="9"/>
        <v>Diana</v>
      </c>
      <c r="U62" s="12">
        <f t="shared" si="10"/>
        <v>175</v>
      </c>
      <c r="V62" s="12" t="str">
        <f t="shared" si="11"/>
        <v>Low</v>
      </c>
    </row>
    <row r="63" spans="1:22" x14ac:dyDescent="0.25">
      <c r="A63" s="10">
        <v>63</v>
      </c>
      <c r="B63" s="11">
        <v>46167</v>
      </c>
      <c r="C63" s="10" t="s">
        <v>38</v>
      </c>
      <c r="D63" s="10" t="s">
        <v>32</v>
      </c>
      <c r="E63" s="10" t="s">
        <v>18</v>
      </c>
      <c r="F63" s="10" t="s">
        <v>13</v>
      </c>
      <c r="G63" s="10">
        <v>6</v>
      </c>
      <c r="H63" s="10">
        <v>1200</v>
      </c>
      <c r="I63" s="10" t="s">
        <v>22</v>
      </c>
      <c r="J63" s="10" t="s">
        <v>15</v>
      </c>
      <c r="K63" s="12" t="str">
        <f t="shared" si="1"/>
        <v>63</v>
      </c>
      <c r="L63" s="12" t="s">
        <v>115</v>
      </c>
      <c r="M63" s="10" t="str">
        <f t="shared" si="2"/>
        <v>Linda King</v>
      </c>
      <c r="N63" s="10" t="str">
        <f t="shared" si="3"/>
        <v>Female</v>
      </c>
      <c r="O63" s="10" t="str">
        <f t="shared" si="4"/>
        <v>Laptop</v>
      </c>
      <c r="P63" s="10" t="str">
        <f t="shared" si="5"/>
        <v>Electronics</v>
      </c>
      <c r="Q63" s="12" t="str">
        <f t="shared" si="6"/>
        <v>6</v>
      </c>
      <c r="R63" s="12" t="str">
        <f t="shared" si="7"/>
        <v>1200</v>
      </c>
      <c r="S63" s="10" t="str">
        <f t="shared" si="8"/>
        <v xml:space="preserve"> Kumasi</v>
      </c>
      <c r="T63" s="10" t="str">
        <f t="shared" si="9"/>
        <v>Emeka</v>
      </c>
      <c r="U63" s="12">
        <f t="shared" si="10"/>
        <v>7200</v>
      </c>
      <c r="V63" s="12" t="str">
        <f t="shared" si="11"/>
        <v>High</v>
      </c>
    </row>
    <row r="64" spans="1:22" x14ac:dyDescent="0.25">
      <c r="A64" s="10">
        <v>64</v>
      </c>
      <c r="B64" s="11">
        <v>46121</v>
      </c>
      <c r="C64" s="10" t="s">
        <v>38</v>
      </c>
      <c r="D64" s="10" t="s">
        <v>32</v>
      </c>
      <c r="E64" s="10" t="s">
        <v>21</v>
      </c>
      <c r="F64" s="10" t="s">
        <v>13</v>
      </c>
      <c r="G64" s="10">
        <v>0</v>
      </c>
      <c r="H64" s="10">
        <v>25</v>
      </c>
      <c r="I64" s="10" t="s">
        <v>14</v>
      </c>
      <c r="J64" s="10" t="s">
        <v>25</v>
      </c>
      <c r="K64" s="12" t="str">
        <f t="shared" si="1"/>
        <v>64</v>
      </c>
      <c r="L64" s="12" t="s">
        <v>112</v>
      </c>
      <c r="M64" s="10" t="str">
        <f t="shared" si="2"/>
        <v>Linda King</v>
      </c>
      <c r="N64" s="10" t="str">
        <f t="shared" si="3"/>
        <v>Female</v>
      </c>
      <c r="O64" s="10" t="str">
        <f t="shared" si="4"/>
        <v>Mouse</v>
      </c>
      <c r="P64" s="10" t="str">
        <f t="shared" si="5"/>
        <v>Electronics</v>
      </c>
      <c r="Q64" s="12" t="str">
        <f t="shared" si="6"/>
        <v>0</v>
      </c>
      <c r="R64" s="12" t="str">
        <f t="shared" si="7"/>
        <v>25</v>
      </c>
      <c r="S64" s="10" t="str">
        <f t="shared" si="8"/>
        <v xml:space="preserve">Accra </v>
      </c>
      <c r="T64" s="10" t="str">
        <f t="shared" si="9"/>
        <v>Diana</v>
      </c>
      <c r="U64" s="12">
        <f t="shared" si="10"/>
        <v>0</v>
      </c>
      <c r="V64" s="12" t="str">
        <f t="shared" si="11"/>
        <v>Low</v>
      </c>
    </row>
    <row r="65" spans="1:22" x14ac:dyDescent="0.25">
      <c r="A65" s="10">
        <v>65</v>
      </c>
      <c r="B65" s="11">
        <v>46239</v>
      </c>
      <c r="C65" s="10" t="s">
        <v>41</v>
      </c>
      <c r="D65" s="10" t="s">
        <v>47</v>
      </c>
      <c r="E65" s="10" t="s">
        <v>12</v>
      </c>
      <c r="F65" s="10" t="s">
        <v>13</v>
      </c>
      <c r="G65" s="10">
        <v>0</v>
      </c>
      <c r="H65" s="10">
        <v>250</v>
      </c>
      <c r="I65" s="10" t="s">
        <v>40</v>
      </c>
      <c r="J65" s="10" t="s">
        <v>27</v>
      </c>
      <c r="K65" s="12" t="str">
        <f t="shared" si="1"/>
        <v>65</v>
      </c>
      <c r="L65" s="12" t="s">
        <v>116</v>
      </c>
      <c r="M65" s="10" t="str">
        <f t="shared" si="2"/>
        <v>David Smith</v>
      </c>
      <c r="N65" s="10" t="str">
        <f t="shared" si="3"/>
        <v>Unknown</v>
      </c>
      <c r="O65" s="10" t="str">
        <f t="shared" si="4"/>
        <v>Printer</v>
      </c>
      <c r="P65" s="10" t="str">
        <f t="shared" si="5"/>
        <v>Electronics</v>
      </c>
      <c r="Q65" s="12" t="str">
        <f t="shared" si="6"/>
        <v>0</v>
      </c>
      <c r="R65" s="12" t="str">
        <f t="shared" si="7"/>
        <v>250</v>
      </c>
      <c r="S65" s="10" t="str">
        <f t="shared" si="8"/>
        <v>Lome</v>
      </c>
      <c r="T65" s="10" t="str">
        <f t="shared" si="9"/>
        <v>Alice</v>
      </c>
      <c r="U65" s="12">
        <f t="shared" si="10"/>
        <v>0</v>
      </c>
      <c r="V65" s="12" t="str">
        <f t="shared" si="11"/>
        <v>Low</v>
      </c>
    </row>
    <row r="66" spans="1:22" x14ac:dyDescent="0.25">
      <c r="A66" s="10">
        <v>66</v>
      </c>
      <c r="B66" s="11">
        <v>46109</v>
      </c>
      <c r="C66" s="10" t="s">
        <v>20</v>
      </c>
      <c r="D66" s="10" t="s">
        <v>11</v>
      </c>
      <c r="E66" s="10" t="s">
        <v>18</v>
      </c>
      <c r="F66" s="10" t="s">
        <v>13</v>
      </c>
      <c r="G66" s="10">
        <v>7</v>
      </c>
      <c r="H66" s="10">
        <v>1200</v>
      </c>
      <c r="I66" s="10" t="s">
        <v>42</v>
      </c>
      <c r="J66" s="10" t="s">
        <v>25</v>
      </c>
      <c r="K66" s="12" t="str">
        <f t="shared" si="1"/>
        <v>66</v>
      </c>
      <c r="L66" s="12" t="s">
        <v>117</v>
      </c>
      <c r="M66" s="10" t="str">
        <f t="shared" si="2"/>
        <v>James Cole</v>
      </c>
      <c r="N66" s="10" t="str">
        <f t="shared" si="3"/>
        <v>Female</v>
      </c>
      <c r="O66" s="10" t="str">
        <f t="shared" si="4"/>
        <v>Laptop</v>
      </c>
      <c r="P66" s="10" t="str">
        <f t="shared" si="5"/>
        <v>Electronics</v>
      </c>
      <c r="Q66" s="12" t="str">
        <f t="shared" si="6"/>
        <v>7</v>
      </c>
      <c r="R66" s="12" t="str">
        <f t="shared" si="7"/>
        <v>1200</v>
      </c>
      <c r="S66" s="10" t="str">
        <f t="shared" si="8"/>
        <v>Kumasi</v>
      </c>
      <c r="T66" s="10" t="str">
        <f t="shared" si="9"/>
        <v>Diana</v>
      </c>
      <c r="U66" s="12">
        <f t="shared" si="10"/>
        <v>8400</v>
      </c>
      <c r="V66" s="12" t="str">
        <f t="shared" si="11"/>
        <v>High</v>
      </c>
    </row>
    <row r="67" spans="1:22" x14ac:dyDescent="0.25">
      <c r="A67" s="10">
        <v>67</v>
      </c>
      <c r="B67" s="11">
        <v>46212</v>
      </c>
      <c r="C67" s="10" t="s">
        <v>38</v>
      </c>
      <c r="D67" s="10" t="s">
        <v>39</v>
      </c>
      <c r="E67" s="10" t="s">
        <v>33</v>
      </c>
      <c r="F67" s="10" t="s">
        <v>34</v>
      </c>
      <c r="G67" s="10">
        <v>6</v>
      </c>
      <c r="H67" s="10">
        <v>180</v>
      </c>
      <c r="I67" s="10" t="s">
        <v>14</v>
      </c>
      <c r="J67" s="10" t="s">
        <v>15</v>
      </c>
      <c r="K67" s="12" t="str">
        <f t="shared" ref="K67:K100" si="12">PROPER(A67)</f>
        <v>67</v>
      </c>
      <c r="L67" s="12" t="s">
        <v>67</v>
      </c>
      <c r="M67" s="10" t="str">
        <f t="shared" ref="M67:M100" si="13">PROPER(C67)</f>
        <v>Linda King</v>
      </c>
      <c r="N67" s="10" t="str">
        <f t="shared" ref="N67:N100" si="14">PROPER(D67)</f>
        <v>Male</v>
      </c>
      <c r="O67" s="10" t="str">
        <f t="shared" ref="O67:O100" si="15">PROPER(E67)</f>
        <v>Desk</v>
      </c>
      <c r="P67" s="10" t="str">
        <f t="shared" ref="P67:P100" si="16">PROPER(F67)</f>
        <v>Furniture</v>
      </c>
      <c r="Q67" s="12" t="str">
        <f t="shared" ref="Q67:Q100" si="17">PROPER(G67)</f>
        <v>6</v>
      </c>
      <c r="R67" s="12" t="str">
        <f t="shared" ref="R67:R100" si="18">PROPER(H67)</f>
        <v>180</v>
      </c>
      <c r="S67" s="10" t="str">
        <f t="shared" ref="S67:S100" si="19">PROPER(I67)</f>
        <v xml:space="preserve">Accra </v>
      </c>
      <c r="T67" s="10" t="str">
        <f t="shared" ref="T67:T100" si="20">PROPER(J67)</f>
        <v>Emeka</v>
      </c>
      <c r="U67" s="12">
        <f t="shared" ref="U67:U100" si="21">G67*H67</f>
        <v>1080</v>
      </c>
      <c r="V67" s="12" t="str">
        <f t="shared" ref="V67:V100" si="22">IF(U67&gt;=500,"High","Low")</f>
        <v>High</v>
      </c>
    </row>
    <row r="68" spans="1:22" x14ac:dyDescent="0.25">
      <c r="A68" s="10">
        <v>68</v>
      </c>
      <c r="B68" s="11">
        <v>46133</v>
      </c>
      <c r="C68" s="10" t="s">
        <v>31</v>
      </c>
      <c r="D68" s="10" t="s">
        <v>17</v>
      </c>
      <c r="E68" s="10" t="s">
        <v>18</v>
      </c>
      <c r="F68" s="10" t="s">
        <v>13</v>
      </c>
      <c r="G68" s="10">
        <v>6</v>
      </c>
      <c r="H68" s="10">
        <v>1200</v>
      </c>
      <c r="I68" s="10" t="s">
        <v>42</v>
      </c>
      <c r="J68" s="10" t="s">
        <v>27</v>
      </c>
      <c r="K68" s="12" t="str">
        <f t="shared" si="12"/>
        <v>68</v>
      </c>
      <c r="L68" s="12" t="s">
        <v>118</v>
      </c>
      <c r="M68" s="10" t="str">
        <f t="shared" si="13"/>
        <v xml:space="preserve"> Mary Boakye </v>
      </c>
      <c r="N68" s="10" t="str">
        <f t="shared" si="14"/>
        <v>Male</v>
      </c>
      <c r="O68" s="10" t="str">
        <f t="shared" si="15"/>
        <v>Laptop</v>
      </c>
      <c r="P68" s="10" t="str">
        <f t="shared" si="16"/>
        <v>Electronics</v>
      </c>
      <c r="Q68" s="12" t="str">
        <f t="shared" si="17"/>
        <v>6</v>
      </c>
      <c r="R68" s="12" t="str">
        <f t="shared" si="18"/>
        <v>1200</v>
      </c>
      <c r="S68" s="10" t="str">
        <f t="shared" si="19"/>
        <v>Kumasi</v>
      </c>
      <c r="T68" s="10" t="str">
        <f t="shared" si="20"/>
        <v>Alice</v>
      </c>
      <c r="U68" s="12">
        <f t="shared" si="21"/>
        <v>7200</v>
      </c>
      <c r="V68" s="12" t="str">
        <f t="shared" si="22"/>
        <v>High</v>
      </c>
    </row>
    <row r="69" spans="1:22" x14ac:dyDescent="0.25">
      <c r="A69" s="10">
        <v>69</v>
      </c>
      <c r="B69" s="11">
        <v>46117</v>
      </c>
      <c r="C69" s="10" t="s">
        <v>20</v>
      </c>
      <c r="D69" s="10" t="s">
        <v>17</v>
      </c>
      <c r="E69" s="10" t="s">
        <v>29</v>
      </c>
      <c r="F69" s="10" t="s">
        <v>30</v>
      </c>
      <c r="G69" s="10">
        <v>3</v>
      </c>
      <c r="H69" s="10">
        <v>5</v>
      </c>
      <c r="I69" s="10" t="s">
        <v>14</v>
      </c>
      <c r="J69" s="10" t="s">
        <v>37</v>
      </c>
      <c r="K69" s="12" t="str">
        <f t="shared" si="12"/>
        <v>69</v>
      </c>
      <c r="L69" s="12" t="s">
        <v>119</v>
      </c>
      <c r="M69" s="10" t="str">
        <f t="shared" si="13"/>
        <v>James Cole</v>
      </c>
      <c r="N69" s="10" t="str">
        <f t="shared" si="14"/>
        <v>Male</v>
      </c>
      <c r="O69" s="10" t="str">
        <f t="shared" si="15"/>
        <v>Notebook</v>
      </c>
      <c r="P69" s="10" t="str">
        <f t="shared" si="16"/>
        <v>Stationery</v>
      </c>
      <c r="Q69" s="12" t="str">
        <f t="shared" si="17"/>
        <v>3</v>
      </c>
      <c r="R69" s="12" t="str">
        <f t="shared" si="18"/>
        <v>5</v>
      </c>
      <c r="S69" s="10" t="str">
        <f t="shared" si="19"/>
        <v xml:space="preserve">Accra </v>
      </c>
      <c r="T69" s="10" t="str">
        <f t="shared" si="20"/>
        <v>Charles</v>
      </c>
      <c r="U69" s="12">
        <f t="shared" si="21"/>
        <v>15</v>
      </c>
      <c r="V69" s="12" t="str">
        <f t="shared" si="22"/>
        <v>Low</v>
      </c>
    </row>
    <row r="70" spans="1:22" x14ac:dyDescent="0.25">
      <c r="A70" s="10">
        <v>70</v>
      </c>
      <c r="B70" s="11">
        <v>46315</v>
      </c>
      <c r="C70" s="10" t="s">
        <v>31</v>
      </c>
      <c r="D70" s="10" t="s">
        <v>11</v>
      </c>
      <c r="E70" s="10" t="s">
        <v>33</v>
      </c>
      <c r="F70" s="10" t="s">
        <v>34</v>
      </c>
      <c r="G70" s="10">
        <v>3</v>
      </c>
      <c r="H70" s="10">
        <v>180</v>
      </c>
      <c r="I70" s="10" t="s">
        <v>19</v>
      </c>
      <c r="J70" s="10" t="s">
        <v>37</v>
      </c>
      <c r="K70" s="12" t="str">
        <f t="shared" si="12"/>
        <v>70</v>
      </c>
      <c r="L70" s="12" t="s">
        <v>120</v>
      </c>
      <c r="M70" s="10" t="str">
        <f t="shared" si="13"/>
        <v xml:space="preserve"> Mary Boakye </v>
      </c>
      <c r="N70" s="10" t="str">
        <f t="shared" si="14"/>
        <v>Female</v>
      </c>
      <c r="O70" s="10" t="str">
        <f t="shared" si="15"/>
        <v>Desk</v>
      </c>
      <c r="P70" s="10" t="str">
        <f t="shared" si="16"/>
        <v>Furniture</v>
      </c>
      <c r="Q70" s="12" t="str">
        <f t="shared" si="17"/>
        <v>3</v>
      </c>
      <c r="R70" s="12" t="str">
        <f t="shared" si="18"/>
        <v>180</v>
      </c>
      <c r="S70" s="10" t="str">
        <f t="shared" si="19"/>
        <v>Accra</v>
      </c>
      <c r="T70" s="10" t="str">
        <f t="shared" si="20"/>
        <v>Charles</v>
      </c>
      <c r="U70" s="12">
        <f t="shared" si="21"/>
        <v>540</v>
      </c>
      <c r="V70" s="12" t="str">
        <f t="shared" si="22"/>
        <v>High</v>
      </c>
    </row>
    <row r="71" spans="1:22" x14ac:dyDescent="0.25">
      <c r="A71" s="10">
        <v>71</v>
      </c>
      <c r="B71" s="11">
        <v>46226</v>
      </c>
      <c r="C71" s="10" t="s">
        <v>43</v>
      </c>
      <c r="D71" s="10" t="s">
        <v>17</v>
      </c>
      <c r="E71" s="10" t="s">
        <v>29</v>
      </c>
      <c r="F71" s="10" t="s">
        <v>30</v>
      </c>
      <c r="G71" s="10">
        <v>7</v>
      </c>
      <c r="H71" s="10">
        <v>5</v>
      </c>
      <c r="I71" s="10" t="s">
        <v>47</v>
      </c>
      <c r="J71" s="10" t="s">
        <v>27</v>
      </c>
      <c r="K71" s="12" t="str">
        <f t="shared" si="12"/>
        <v>71</v>
      </c>
      <c r="L71" s="12" t="s">
        <v>121</v>
      </c>
      <c r="M71" s="10" t="str">
        <f t="shared" si="13"/>
        <v>Ama Owusu</v>
      </c>
      <c r="N71" s="10" t="str">
        <f t="shared" si="14"/>
        <v>Male</v>
      </c>
      <c r="O71" s="10" t="str">
        <f t="shared" si="15"/>
        <v>Notebook</v>
      </c>
      <c r="P71" s="10" t="str">
        <f t="shared" si="16"/>
        <v>Stationery</v>
      </c>
      <c r="Q71" s="12" t="str">
        <f t="shared" si="17"/>
        <v>7</v>
      </c>
      <c r="R71" s="12" t="str">
        <f t="shared" si="18"/>
        <v>5</v>
      </c>
      <c r="S71" s="10" t="str">
        <f t="shared" si="19"/>
        <v>Unknown</v>
      </c>
      <c r="T71" s="10" t="str">
        <f t="shared" si="20"/>
        <v>Alice</v>
      </c>
      <c r="U71" s="12">
        <f t="shared" si="21"/>
        <v>35</v>
      </c>
      <c r="V71" s="12" t="str">
        <f t="shared" si="22"/>
        <v>Low</v>
      </c>
    </row>
    <row r="72" spans="1:22" x14ac:dyDescent="0.25">
      <c r="A72" s="10">
        <v>72</v>
      </c>
      <c r="B72" s="11">
        <v>46346</v>
      </c>
      <c r="C72" s="10" t="s">
        <v>31</v>
      </c>
      <c r="D72" s="10" t="s">
        <v>47</v>
      </c>
      <c r="E72" s="10" t="s">
        <v>12</v>
      </c>
      <c r="F72" s="10" t="s">
        <v>13</v>
      </c>
      <c r="G72" s="10">
        <v>5</v>
      </c>
      <c r="H72" s="10">
        <v>250</v>
      </c>
      <c r="I72" s="10" t="s">
        <v>26</v>
      </c>
      <c r="J72" s="10" t="s">
        <v>37</v>
      </c>
      <c r="K72" s="12" t="str">
        <f t="shared" si="12"/>
        <v>72</v>
      </c>
      <c r="L72" s="12" t="s">
        <v>64</v>
      </c>
      <c r="M72" s="10" t="str">
        <f t="shared" si="13"/>
        <v xml:space="preserve"> Mary Boakye </v>
      </c>
      <c r="N72" s="10" t="str">
        <f t="shared" si="14"/>
        <v>Unknown</v>
      </c>
      <c r="O72" s="10" t="str">
        <f t="shared" si="15"/>
        <v>Printer</v>
      </c>
      <c r="P72" s="10" t="str">
        <f t="shared" si="16"/>
        <v>Electronics</v>
      </c>
      <c r="Q72" s="12" t="str">
        <f t="shared" si="17"/>
        <v>5</v>
      </c>
      <c r="R72" s="12" t="str">
        <f t="shared" si="18"/>
        <v>250</v>
      </c>
      <c r="S72" s="10" t="str">
        <f t="shared" si="19"/>
        <v>Abuja</v>
      </c>
      <c r="T72" s="10" t="str">
        <f t="shared" si="20"/>
        <v>Charles</v>
      </c>
      <c r="U72" s="12">
        <f t="shared" si="21"/>
        <v>1250</v>
      </c>
      <c r="V72" s="12" t="str">
        <f t="shared" si="22"/>
        <v>High</v>
      </c>
    </row>
    <row r="73" spans="1:22" x14ac:dyDescent="0.25">
      <c r="A73" s="10">
        <v>73</v>
      </c>
      <c r="B73" s="11">
        <v>46337</v>
      </c>
      <c r="C73" s="10" t="s">
        <v>16</v>
      </c>
      <c r="D73" s="10" t="s">
        <v>32</v>
      </c>
      <c r="E73" s="10" t="s">
        <v>18</v>
      </c>
      <c r="F73" s="10" t="s">
        <v>13</v>
      </c>
      <c r="G73" s="10">
        <v>9</v>
      </c>
      <c r="H73" s="10">
        <v>1200</v>
      </c>
      <c r="I73" s="10" t="s">
        <v>35</v>
      </c>
      <c r="J73" s="10" t="s">
        <v>25</v>
      </c>
      <c r="K73" s="12" t="str">
        <f t="shared" si="12"/>
        <v>73</v>
      </c>
      <c r="L73" s="12" t="s">
        <v>122</v>
      </c>
      <c r="M73" s="10" t="str">
        <f t="shared" si="13"/>
        <v>John Mensah</v>
      </c>
      <c r="N73" s="10" t="str">
        <f t="shared" si="14"/>
        <v>Female</v>
      </c>
      <c r="O73" s="10" t="str">
        <f t="shared" si="15"/>
        <v>Laptop</v>
      </c>
      <c r="P73" s="10" t="str">
        <f t="shared" si="16"/>
        <v>Electronics</v>
      </c>
      <c r="Q73" s="12" t="str">
        <f t="shared" si="17"/>
        <v>9</v>
      </c>
      <c r="R73" s="12" t="str">
        <f t="shared" si="18"/>
        <v>1200</v>
      </c>
      <c r="S73" s="10" t="str">
        <f t="shared" si="19"/>
        <v>Lagos</v>
      </c>
      <c r="T73" s="10" t="str">
        <f t="shared" si="20"/>
        <v>Diana</v>
      </c>
      <c r="U73" s="12">
        <f t="shared" si="21"/>
        <v>10800</v>
      </c>
      <c r="V73" s="12" t="str">
        <f t="shared" si="22"/>
        <v>High</v>
      </c>
    </row>
    <row r="74" spans="1:22" x14ac:dyDescent="0.25">
      <c r="A74" s="10">
        <v>74</v>
      </c>
      <c r="B74" s="11">
        <v>46209</v>
      </c>
      <c r="C74" s="10" t="s">
        <v>36</v>
      </c>
      <c r="D74" s="10" t="s">
        <v>39</v>
      </c>
      <c r="E74" s="10" t="s">
        <v>12</v>
      </c>
      <c r="F74" s="10" t="s">
        <v>13</v>
      </c>
      <c r="G74" s="10">
        <v>3</v>
      </c>
      <c r="H74" s="10">
        <v>250</v>
      </c>
      <c r="I74" s="10" t="s">
        <v>22</v>
      </c>
      <c r="J74" s="10" t="s">
        <v>25</v>
      </c>
      <c r="K74" s="12" t="str">
        <f t="shared" si="12"/>
        <v>74</v>
      </c>
      <c r="L74" s="12" t="s">
        <v>72</v>
      </c>
      <c r="M74" s="10" t="str">
        <f t="shared" si="13"/>
        <v>Grace Agyeman</v>
      </c>
      <c r="N74" s="10" t="str">
        <f t="shared" si="14"/>
        <v>Male</v>
      </c>
      <c r="O74" s="10" t="str">
        <f t="shared" si="15"/>
        <v>Printer</v>
      </c>
      <c r="P74" s="10" t="str">
        <f t="shared" si="16"/>
        <v>Electronics</v>
      </c>
      <c r="Q74" s="12" t="str">
        <f t="shared" si="17"/>
        <v>3</v>
      </c>
      <c r="R74" s="12" t="str">
        <f t="shared" si="18"/>
        <v>250</v>
      </c>
      <c r="S74" s="10" t="str">
        <f t="shared" si="19"/>
        <v xml:space="preserve"> Kumasi</v>
      </c>
      <c r="T74" s="10" t="str">
        <f t="shared" si="20"/>
        <v>Diana</v>
      </c>
      <c r="U74" s="12">
        <f t="shared" si="21"/>
        <v>750</v>
      </c>
      <c r="V74" s="12" t="str">
        <f t="shared" si="22"/>
        <v>High</v>
      </c>
    </row>
    <row r="75" spans="1:22" x14ac:dyDescent="0.25">
      <c r="A75" s="10">
        <v>75</v>
      </c>
      <c r="B75" s="11">
        <v>46375</v>
      </c>
      <c r="C75" s="10" t="s">
        <v>10</v>
      </c>
      <c r="D75" s="10" t="s">
        <v>39</v>
      </c>
      <c r="E75" s="10" t="s">
        <v>44</v>
      </c>
      <c r="F75" s="10" t="s">
        <v>34</v>
      </c>
      <c r="G75" s="10">
        <v>7</v>
      </c>
      <c r="H75" s="10">
        <v>95</v>
      </c>
      <c r="I75" s="10" t="s">
        <v>19</v>
      </c>
      <c r="J75" s="10" t="s">
        <v>37</v>
      </c>
      <c r="K75" s="12" t="str">
        <f t="shared" si="12"/>
        <v>75</v>
      </c>
      <c r="L75" s="12" t="s">
        <v>80</v>
      </c>
      <c r="M75" s="10" t="str">
        <f t="shared" si="13"/>
        <v>Peter Doe</v>
      </c>
      <c r="N75" s="10" t="str">
        <f t="shared" si="14"/>
        <v>Male</v>
      </c>
      <c r="O75" s="10" t="str">
        <f t="shared" si="15"/>
        <v>Chair</v>
      </c>
      <c r="P75" s="10" t="str">
        <f t="shared" si="16"/>
        <v>Furniture</v>
      </c>
      <c r="Q75" s="12" t="str">
        <f t="shared" si="17"/>
        <v>7</v>
      </c>
      <c r="R75" s="12" t="str">
        <f t="shared" si="18"/>
        <v>95</v>
      </c>
      <c r="S75" s="10" t="str">
        <f t="shared" si="19"/>
        <v>Accra</v>
      </c>
      <c r="T75" s="10" t="str">
        <f t="shared" si="20"/>
        <v>Charles</v>
      </c>
      <c r="U75" s="12">
        <f t="shared" si="21"/>
        <v>665</v>
      </c>
      <c r="V75" s="12" t="str">
        <f t="shared" si="22"/>
        <v>High</v>
      </c>
    </row>
    <row r="76" spans="1:22" x14ac:dyDescent="0.25">
      <c r="A76" s="10">
        <v>76</v>
      </c>
      <c r="B76" s="11">
        <v>46253</v>
      </c>
      <c r="C76" s="10" t="s">
        <v>41</v>
      </c>
      <c r="D76" s="10" t="s">
        <v>32</v>
      </c>
      <c r="E76" s="10" t="s">
        <v>44</v>
      </c>
      <c r="F76" s="10" t="s">
        <v>34</v>
      </c>
      <c r="G76" s="10">
        <v>4</v>
      </c>
      <c r="H76" s="10">
        <v>95</v>
      </c>
      <c r="I76" s="10" t="s">
        <v>35</v>
      </c>
      <c r="J76" s="10" t="s">
        <v>23</v>
      </c>
      <c r="K76" s="12" t="str">
        <f t="shared" si="12"/>
        <v>76</v>
      </c>
      <c r="L76" s="12" t="s">
        <v>123</v>
      </c>
      <c r="M76" s="10" t="str">
        <f t="shared" si="13"/>
        <v>David Smith</v>
      </c>
      <c r="N76" s="10" t="str">
        <f t="shared" si="14"/>
        <v>Female</v>
      </c>
      <c r="O76" s="10" t="str">
        <f t="shared" si="15"/>
        <v>Chair</v>
      </c>
      <c r="P76" s="10" t="str">
        <f t="shared" si="16"/>
        <v>Furniture</v>
      </c>
      <c r="Q76" s="12" t="str">
        <f t="shared" si="17"/>
        <v>4</v>
      </c>
      <c r="R76" s="12" t="str">
        <f t="shared" si="18"/>
        <v>95</v>
      </c>
      <c r="S76" s="10" t="str">
        <f t="shared" si="19"/>
        <v>Lagos</v>
      </c>
      <c r="T76" s="10" t="str">
        <f t="shared" si="20"/>
        <v>Bob</v>
      </c>
      <c r="U76" s="12">
        <f t="shared" si="21"/>
        <v>380</v>
      </c>
      <c r="V76" s="12" t="str">
        <f t="shared" si="22"/>
        <v>Low</v>
      </c>
    </row>
    <row r="77" spans="1:22" x14ac:dyDescent="0.25">
      <c r="A77" s="10">
        <v>77</v>
      </c>
      <c r="B77" s="11">
        <v>46199</v>
      </c>
      <c r="C77" s="10" t="s">
        <v>10</v>
      </c>
      <c r="D77" s="10" t="s">
        <v>39</v>
      </c>
      <c r="E77" s="10" t="s">
        <v>44</v>
      </c>
      <c r="F77" s="10" t="s">
        <v>34</v>
      </c>
      <c r="G77" s="10">
        <v>4</v>
      </c>
      <c r="H77" s="10">
        <v>95</v>
      </c>
      <c r="I77" s="10" t="s">
        <v>35</v>
      </c>
      <c r="J77" s="10" t="s">
        <v>15</v>
      </c>
      <c r="K77" s="12" t="str">
        <f t="shared" si="12"/>
        <v>77</v>
      </c>
      <c r="L77" s="12" t="s">
        <v>124</v>
      </c>
      <c r="M77" s="10" t="str">
        <f t="shared" si="13"/>
        <v>Peter Doe</v>
      </c>
      <c r="N77" s="10" t="str">
        <f t="shared" si="14"/>
        <v>Male</v>
      </c>
      <c r="O77" s="10" t="str">
        <f t="shared" si="15"/>
        <v>Chair</v>
      </c>
      <c r="P77" s="10" t="str">
        <f t="shared" si="16"/>
        <v>Furniture</v>
      </c>
      <c r="Q77" s="12" t="str">
        <f t="shared" si="17"/>
        <v>4</v>
      </c>
      <c r="R77" s="12" t="str">
        <f t="shared" si="18"/>
        <v>95</v>
      </c>
      <c r="S77" s="10" t="str">
        <f t="shared" si="19"/>
        <v>Lagos</v>
      </c>
      <c r="T77" s="10" t="str">
        <f t="shared" si="20"/>
        <v>Emeka</v>
      </c>
      <c r="U77" s="12">
        <f t="shared" si="21"/>
        <v>380</v>
      </c>
      <c r="V77" s="12" t="str">
        <f t="shared" si="22"/>
        <v>Low</v>
      </c>
    </row>
    <row r="78" spans="1:22" x14ac:dyDescent="0.25">
      <c r="A78" s="10">
        <v>78</v>
      </c>
      <c r="B78" s="11">
        <v>46115</v>
      </c>
      <c r="C78" s="10" t="s">
        <v>43</v>
      </c>
      <c r="D78" s="10" t="s">
        <v>32</v>
      </c>
      <c r="E78" s="10" t="s">
        <v>18</v>
      </c>
      <c r="F78" s="10" t="s">
        <v>13</v>
      </c>
      <c r="G78" s="10">
        <v>9</v>
      </c>
      <c r="H78" s="10">
        <v>1200</v>
      </c>
      <c r="I78" s="10" t="s">
        <v>14</v>
      </c>
      <c r="J78" s="10" t="s">
        <v>25</v>
      </c>
      <c r="K78" s="12" t="str">
        <f t="shared" si="12"/>
        <v>78</v>
      </c>
      <c r="L78" s="12" t="s">
        <v>125</v>
      </c>
      <c r="M78" s="10" t="str">
        <f t="shared" si="13"/>
        <v>Ama Owusu</v>
      </c>
      <c r="N78" s="10" t="str">
        <f t="shared" si="14"/>
        <v>Female</v>
      </c>
      <c r="O78" s="10" t="str">
        <f t="shared" si="15"/>
        <v>Laptop</v>
      </c>
      <c r="P78" s="10" t="str">
        <f t="shared" si="16"/>
        <v>Electronics</v>
      </c>
      <c r="Q78" s="12" t="str">
        <f t="shared" si="17"/>
        <v>9</v>
      </c>
      <c r="R78" s="12" t="str">
        <f t="shared" si="18"/>
        <v>1200</v>
      </c>
      <c r="S78" s="10" t="str">
        <f t="shared" si="19"/>
        <v xml:space="preserve">Accra </v>
      </c>
      <c r="T78" s="10" t="str">
        <f t="shared" si="20"/>
        <v>Diana</v>
      </c>
      <c r="U78" s="12">
        <f t="shared" si="21"/>
        <v>10800</v>
      </c>
      <c r="V78" s="12" t="str">
        <f t="shared" si="22"/>
        <v>High</v>
      </c>
    </row>
    <row r="79" spans="1:22" x14ac:dyDescent="0.25">
      <c r="A79" s="10">
        <v>79</v>
      </c>
      <c r="B79" s="11">
        <v>46260</v>
      </c>
      <c r="C79" s="10" t="s">
        <v>16</v>
      </c>
      <c r="D79" s="10" t="s">
        <v>17</v>
      </c>
      <c r="E79" s="10" t="s">
        <v>12</v>
      </c>
      <c r="F79" s="10" t="s">
        <v>13</v>
      </c>
      <c r="G79" s="10">
        <v>8</v>
      </c>
      <c r="H79" s="10">
        <v>250</v>
      </c>
      <c r="I79" s="10" t="s">
        <v>42</v>
      </c>
      <c r="J79" s="10" t="s">
        <v>37</v>
      </c>
      <c r="K79" s="12" t="str">
        <f t="shared" si="12"/>
        <v>79</v>
      </c>
      <c r="L79" s="12" t="s">
        <v>126</v>
      </c>
      <c r="M79" s="10" t="str">
        <f t="shared" si="13"/>
        <v>John Mensah</v>
      </c>
      <c r="N79" s="10" t="str">
        <f t="shared" si="14"/>
        <v>Male</v>
      </c>
      <c r="O79" s="10" t="str">
        <f t="shared" si="15"/>
        <v>Printer</v>
      </c>
      <c r="P79" s="10" t="str">
        <f t="shared" si="16"/>
        <v>Electronics</v>
      </c>
      <c r="Q79" s="12" t="str">
        <f t="shared" si="17"/>
        <v>8</v>
      </c>
      <c r="R79" s="12" t="str">
        <f t="shared" si="18"/>
        <v>250</v>
      </c>
      <c r="S79" s="10" t="str">
        <f t="shared" si="19"/>
        <v>Kumasi</v>
      </c>
      <c r="T79" s="10" t="str">
        <f t="shared" si="20"/>
        <v>Charles</v>
      </c>
      <c r="U79" s="12">
        <f t="shared" si="21"/>
        <v>2000</v>
      </c>
      <c r="V79" s="12" t="str">
        <f t="shared" si="22"/>
        <v>High</v>
      </c>
    </row>
    <row r="80" spans="1:22" x14ac:dyDescent="0.25">
      <c r="A80" s="10">
        <v>80</v>
      </c>
      <c r="B80" s="11">
        <v>46189</v>
      </c>
      <c r="C80" s="10" t="s">
        <v>36</v>
      </c>
      <c r="D80" s="10" t="s">
        <v>47</v>
      </c>
      <c r="E80" s="10" t="s">
        <v>12</v>
      </c>
      <c r="F80" s="10" t="s">
        <v>13</v>
      </c>
      <c r="G80" s="10">
        <v>10</v>
      </c>
      <c r="H80" s="10">
        <v>250</v>
      </c>
      <c r="I80" s="10" t="s">
        <v>40</v>
      </c>
      <c r="J80" s="10" t="s">
        <v>37</v>
      </c>
      <c r="K80" s="12" t="str">
        <f t="shared" si="12"/>
        <v>80</v>
      </c>
      <c r="L80" s="12" t="s">
        <v>127</v>
      </c>
      <c r="M80" s="10" t="str">
        <f t="shared" si="13"/>
        <v>Grace Agyeman</v>
      </c>
      <c r="N80" s="10" t="str">
        <f t="shared" si="14"/>
        <v>Unknown</v>
      </c>
      <c r="O80" s="10" t="str">
        <f t="shared" si="15"/>
        <v>Printer</v>
      </c>
      <c r="P80" s="10" t="str">
        <f t="shared" si="16"/>
        <v>Electronics</v>
      </c>
      <c r="Q80" s="12" t="str">
        <f t="shared" si="17"/>
        <v>10</v>
      </c>
      <c r="R80" s="12" t="str">
        <f t="shared" si="18"/>
        <v>250</v>
      </c>
      <c r="S80" s="10" t="str">
        <f t="shared" si="19"/>
        <v>Lome</v>
      </c>
      <c r="T80" s="10" t="str">
        <f t="shared" si="20"/>
        <v>Charles</v>
      </c>
      <c r="U80" s="12">
        <f t="shared" si="21"/>
        <v>2500</v>
      </c>
      <c r="V80" s="12" t="str">
        <f t="shared" si="22"/>
        <v>High</v>
      </c>
    </row>
    <row r="81" spans="1:22" x14ac:dyDescent="0.25">
      <c r="A81" s="10">
        <v>81</v>
      </c>
      <c r="B81" s="12" t="s">
        <v>46</v>
      </c>
      <c r="C81" s="10" t="s">
        <v>10</v>
      </c>
      <c r="D81" s="10" t="s">
        <v>11</v>
      </c>
      <c r="E81" s="10" t="s">
        <v>33</v>
      </c>
      <c r="F81" s="10" t="s">
        <v>34</v>
      </c>
      <c r="G81" s="10">
        <v>8</v>
      </c>
      <c r="H81" s="10">
        <v>180</v>
      </c>
      <c r="I81" s="10" t="s">
        <v>19</v>
      </c>
      <c r="J81" s="10" t="s">
        <v>15</v>
      </c>
      <c r="K81" s="12" t="str">
        <f t="shared" si="12"/>
        <v>81</v>
      </c>
      <c r="L81" s="12" t="s">
        <v>46</v>
      </c>
      <c r="M81" s="10" t="str">
        <f t="shared" si="13"/>
        <v>Peter Doe</v>
      </c>
      <c r="N81" s="10" t="str">
        <f t="shared" si="14"/>
        <v>Female</v>
      </c>
      <c r="O81" s="10" t="str">
        <f t="shared" si="15"/>
        <v>Desk</v>
      </c>
      <c r="P81" s="10" t="str">
        <f t="shared" si="16"/>
        <v>Furniture</v>
      </c>
      <c r="Q81" s="12" t="str">
        <f t="shared" si="17"/>
        <v>8</v>
      </c>
      <c r="R81" s="12" t="str">
        <f t="shared" si="18"/>
        <v>180</v>
      </c>
      <c r="S81" s="10" t="str">
        <f t="shared" si="19"/>
        <v>Accra</v>
      </c>
      <c r="T81" s="10" t="str">
        <f t="shared" si="20"/>
        <v>Emeka</v>
      </c>
      <c r="U81" s="12">
        <f t="shared" si="21"/>
        <v>1440</v>
      </c>
      <c r="V81" s="12" t="str">
        <f t="shared" si="22"/>
        <v>High</v>
      </c>
    </row>
    <row r="82" spans="1:22" x14ac:dyDescent="0.25">
      <c r="A82" s="10">
        <v>82</v>
      </c>
      <c r="B82" s="11">
        <v>46119</v>
      </c>
      <c r="C82" s="10" t="s">
        <v>20</v>
      </c>
      <c r="D82" s="10" t="s">
        <v>39</v>
      </c>
      <c r="E82" s="10" t="s">
        <v>12</v>
      </c>
      <c r="F82" s="10" t="s">
        <v>13</v>
      </c>
      <c r="G82" s="10">
        <v>3</v>
      </c>
      <c r="H82" s="10">
        <v>250</v>
      </c>
      <c r="I82" s="10" t="s">
        <v>40</v>
      </c>
      <c r="J82" s="10" t="s">
        <v>15</v>
      </c>
      <c r="K82" s="12" t="str">
        <f t="shared" si="12"/>
        <v>82</v>
      </c>
      <c r="L82" s="12" t="s">
        <v>128</v>
      </c>
      <c r="M82" s="10" t="str">
        <f t="shared" si="13"/>
        <v>James Cole</v>
      </c>
      <c r="N82" s="10" t="str">
        <f t="shared" si="14"/>
        <v>Male</v>
      </c>
      <c r="O82" s="10" t="str">
        <f t="shared" si="15"/>
        <v>Printer</v>
      </c>
      <c r="P82" s="10" t="str">
        <f t="shared" si="16"/>
        <v>Electronics</v>
      </c>
      <c r="Q82" s="12" t="str">
        <f t="shared" si="17"/>
        <v>3</v>
      </c>
      <c r="R82" s="12" t="str">
        <f t="shared" si="18"/>
        <v>250</v>
      </c>
      <c r="S82" s="10" t="str">
        <f t="shared" si="19"/>
        <v>Lome</v>
      </c>
      <c r="T82" s="10" t="str">
        <f t="shared" si="20"/>
        <v>Emeka</v>
      </c>
      <c r="U82" s="12">
        <f t="shared" si="21"/>
        <v>750</v>
      </c>
      <c r="V82" s="12" t="str">
        <f t="shared" si="22"/>
        <v>High</v>
      </c>
    </row>
    <row r="83" spans="1:22" x14ac:dyDescent="0.25">
      <c r="A83" s="10">
        <v>83</v>
      </c>
      <c r="B83" s="11">
        <v>46122</v>
      </c>
      <c r="C83" s="10" t="s">
        <v>43</v>
      </c>
      <c r="D83" s="10" t="s">
        <v>39</v>
      </c>
      <c r="E83" s="10" t="s">
        <v>33</v>
      </c>
      <c r="F83" s="10" t="s">
        <v>34</v>
      </c>
      <c r="G83" s="10">
        <v>2</v>
      </c>
      <c r="H83" s="12">
        <v>0</v>
      </c>
      <c r="I83" s="10" t="s">
        <v>40</v>
      </c>
      <c r="J83" s="10" t="s">
        <v>23</v>
      </c>
      <c r="K83" s="12" t="str">
        <f t="shared" si="12"/>
        <v>83</v>
      </c>
      <c r="L83" s="12" t="s">
        <v>129</v>
      </c>
      <c r="M83" s="10" t="str">
        <f t="shared" si="13"/>
        <v>Ama Owusu</v>
      </c>
      <c r="N83" s="10" t="str">
        <f t="shared" si="14"/>
        <v>Male</v>
      </c>
      <c r="O83" s="10" t="str">
        <f t="shared" si="15"/>
        <v>Desk</v>
      </c>
      <c r="P83" s="10" t="str">
        <f t="shared" si="16"/>
        <v>Furniture</v>
      </c>
      <c r="Q83" s="12" t="str">
        <f t="shared" si="17"/>
        <v>2</v>
      </c>
      <c r="R83" s="12">
        <v>0</v>
      </c>
      <c r="S83" s="10" t="str">
        <f t="shared" si="19"/>
        <v>Lome</v>
      </c>
      <c r="T83" s="10" t="str">
        <f t="shared" si="20"/>
        <v>Bob</v>
      </c>
      <c r="U83" s="12">
        <f>G83*H83</f>
        <v>0</v>
      </c>
      <c r="V83" s="12" t="str">
        <f t="shared" si="22"/>
        <v>Low</v>
      </c>
    </row>
    <row r="84" spans="1:22" x14ac:dyDescent="0.25">
      <c r="A84" s="10">
        <v>84</v>
      </c>
      <c r="B84" s="11">
        <v>46040</v>
      </c>
      <c r="C84" s="10" t="s">
        <v>10</v>
      </c>
      <c r="D84" s="10" t="s">
        <v>11</v>
      </c>
      <c r="E84" s="10" t="s">
        <v>33</v>
      </c>
      <c r="F84" s="10" t="s">
        <v>34</v>
      </c>
      <c r="G84" s="10">
        <v>1</v>
      </c>
      <c r="H84" s="10">
        <v>180</v>
      </c>
      <c r="I84" s="10" t="s">
        <v>19</v>
      </c>
      <c r="J84" s="10" t="s">
        <v>27</v>
      </c>
      <c r="K84" s="12" t="str">
        <f t="shared" si="12"/>
        <v>84</v>
      </c>
      <c r="L84" s="12" t="s">
        <v>130</v>
      </c>
      <c r="M84" s="10" t="str">
        <f t="shared" si="13"/>
        <v>Peter Doe</v>
      </c>
      <c r="N84" s="10" t="str">
        <f t="shared" si="14"/>
        <v>Female</v>
      </c>
      <c r="O84" s="10" t="str">
        <f t="shared" si="15"/>
        <v>Desk</v>
      </c>
      <c r="P84" s="10" t="str">
        <f t="shared" si="16"/>
        <v>Furniture</v>
      </c>
      <c r="Q84" s="12" t="str">
        <f t="shared" si="17"/>
        <v>1</v>
      </c>
      <c r="R84" s="12" t="str">
        <f t="shared" si="18"/>
        <v>180</v>
      </c>
      <c r="S84" s="10" t="str">
        <f t="shared" si="19"/>
        <v>Accra</v>
      </c>
      <c r="T84" s="10" t="str">
        <f t="shared" si="20"/>
        <v>Alice</v>
      </c>
      <c r="U84" s="12">
        <f t="shared" si="21"/>
        <v>180</v>
      </c>
      <c r="V84" s="12" t="str">
        <f t="shared" si="22"/>
        <v>Low</v>
      </c>
    </row>
    <row r="85" spans="1:22" x14ac:dyDescent="0.25">
      <c r="A85" s="10">
        <v>85</v>
      </c>
      <c r="B85" s="11">
        <v>46250</v>
      </c>
      <c r="C85" s="10" t="s">
        <v>20</v>
      </c>
      <c r="D85" s="10" t="s">
        <v>39</v>
      </c>
      <c r="E85" s="10" t="s">
        <v>29</v>
      </c>
      <c r="F85" s="10" t="s">
        <v>30</v>
      </c>
      <c r="G85" s="10">
        <v>5</v>
      </c>
      <c r="H85" s="10">
        <v>5</v>
      </c>
      <c r="I85" s="10" t="s">
        <v>22</v>
      </c>
      <c r="J85" s="10" t="s">
        <v>25</v>
      </c>
      <c r="K85" s="12" t="str">
        <f t="shared" si="12"/>
        <v>85</v>
      </c>
      <c r="L85" s="12" t="s">
        <v>131</v>
      </c>
      <c r="M85" s="10" t="str">
        <f t="shared" si="13"/>
        <v>James Cole</v>
      </c>
      <c r="N85" s="10" t="str">
        <f t="shared" si="14"/>
        <v>Male</v>
      </c>
      <c r="O85" s="10" t="str">
        <f t="shared" si="15"/>
        <v>Notebook</v>
      </c>
      <c r="P85" s="10" t="str">
        <f t="shared" si="16"/>
        <v>Stationery</v>
      </c>
      <c r="Q85" s="12" t="str">
        <f t="shared" si="17"/>
        <v>5</v>
      </c>
      <c r="R85" s="12" t="str">
        <f t="shared" si="18"/>
        <v>5</v>
      </c>
      <c r="S85" s="10" t="str">
        <f t="shared" si="19"/>
        <v xml:space="preserve"> Kumasi</v>
      </c>
      <c r="T85" s="10" t="str">
        <f t="shared" si="20"/>
        <v>Diana</v>
      </c>
      <c r="U85" s="12">
        <f t="shared" si="21"/>
        <v>25</v>
      </c>
      <c r="V85" s="12" t="str">
        <f t="shared" si="22"/>
        <v>Low</v>
      </c>
    </row>
    <row r="86" spans="1:22" x14ac:dyDescent="0.25">
      <c r="A86" s="10">
        <v>86</v>
      </c>
      <c r="B86" s="11">
        <v>46219</v>
      </c>
      <c r="C86" s="10" t="s">
        <v>31</v>
      </c>
      <c r="D86" s="10" t="s">
        <v>47</v>
      </c>
      <c r="E86" s="10" t="s">
        <v>18</v>
      </c>
      <c r="F86" s="10" t="s">
        <v>13</v>
      </c>
      <c r="G86" s="10">
        <v>2</v>
      </c>
      <c r="H86" s="10">
        <v>1200</v>
      </c>
      <c r="I86" s="10" t="s">
        <v>42</v>
      </c>
      <c r="J86" s="10" t="s">
        <v>15</v>
      </c>
      <c r="K86" s="12" t="str">
        <f t="shared" si="12"/>
        <v>86</v>
      </c>
      <c r="L86" s="12" t="s">
        <v>132</v>
      </c>
      <c r="M86" s="10" t="str">
        <f t="shared" si="13"/>
        <v xml:space="preserve"> Mary Boakye </v>
      </c>
      <c r="N86" s="10" t="str">
        <f t="shared" si="14"/>
        <v>Unknown</v>
      </c>
      <c r="O86" s="10" t="str">
        <f t="shared" si="15"/>
        <v>Laptop</v>
      </c>
      <c r="P86" s="10" t="str">
        <f t="shared" si="16"/>
        <v>Electronics</v>
      </c>
      <c r="Q86" s="12" t="str">
        <f t="shared" si="17"/>
        <v>2</v>
      </c>
      <c r="R86" s="12" t="str">
        <f t="shared" si="18"/>
        <v>1200</v>
      </c>
      <c r="S86" s="10" t="str">
        <f t="shared" si="19"/>
        <v>Kumasi</v>
      </c>
      <c r="T86" s="10" t="str">
        <f t="shared" si="20"/>
        <v>Emeka</v>
      </c>
      <c r="U86" s="12">
        <f t="shared" si="21"/>
        <v>2400</v>
      </c>
      <c r="V86" s="12" t="str">
        <f t="shared" si="22"/>
        <v>High</v>
      </c>
    </row>
    <row r="87" spans="1:22" x14ac:dyDescent="0.25">
      <c r="A87" s="10">
        <v>87</v>
      </c>
      <c r="B87" s="11">
        <v>46116</v>
      </c>
      <c r="C87" s="10" t="s">
        <v>36</v>
      </c>
      <c r="D87" s="10" t="s">
        <v>32</v>
      </c>
      <c r="E87" s="10" t="s">
        <v>33</v>
      </c>
      <c r="F87" s="10" t="s">
        <v>34</v>
      </c>
      <c r="G87" s="10">
        <v>2</v>
      </c>
      <c r="H87" s="10">
        <v>180</v>
      </c>
      <c r="I87" s="10" t="s">
        <v>42</v>
      </c>
      <c r="J87" s="10" t="s">
        <v>15</v>
      </c>
      <c r="K87" s="12" t="str">
        <f t="shared" si="12"/>
        <v>87</v>
      </c>
      <c r="L87" s="12" t="s">
        <v>133</v>
      </c>
      <c r="M87" s="10" t="str">
        <f t="shared" si="13"/>
        <v>Grace Agyeman</v>
      </c>
      <c r="N87" s="10" t="str">
        <f t="shared" si="14"/>
        <v>Female</v>
      </c>
      <c r="O87" s="10" t="str">
        <f t="shared" si="15"/>
        <v>Desk</v>
      </c>
      <c r="P87" s="10" t="str">
        <f t="shared" si="16"/>
        <v>Furniture</v>
      </c>
      <c r="Q87" s="12" t="str">
        <f t="shared" si="17"/>
        <v>2</v>
      </c>
      <c r="R87" s="12" t="str">
        <f t="shared" si="18"/>
        <v>180</v>
      </c>
      <c r="S87" s="10" t="str">
        <f t="shared" si="19"/>
        <v>Kumasi</v>
      </c>
      <c r="T87" s="10" t="str">
        <f t="shared" si="20"/>
        <v>Emeka</v>
      </c>
      <c r="U87" s="12">
        <f t="shared" si="21"/>
        <v>360</v>
      </c>
      <c r="V87" s="12" t="str">
        <f t="shared" si="22"/>
        <v>Low</v>
      </c>
    </row>
    <row r="88" spans="1:22" x14ac:dyDescent="0.25">
      <c r="A88" s="10">
        <v>88</v>
      </c>
      <c r="B88" s="11">
        <v>46244</v>
      </c>
      <c r="C88" s="10" t="s">
        <v>41</v>
      </c>
      <c r="D88" s="10" t="s">
        <v>32</v>
      </c>
      <c r="E88" s="10" t="s">
        <v>44</v>
      </c>
      <c r="F88" s="10" t="s">
        <v>34</v>
      </c>
      <c r="G88" s="10">
        <v>8</v>
      </c>
      <c r="H88" s="10">
        <v>95</v>
      </c>
      <c r="I88" s="10" t="s">
        <v>40</v>
      </c>
      <c r="J88" s="10" t="s">
        <v>27</v>
      </c>
      <c r="K88" s="12" t="str">
        <f t="shared" si="12"/>
        <v>88</v>
      </c>
      <c r="L88" s="12" t="s">
        <v>134</v>
      </c>
      <c r="M88" s="10" t="str">
        <f t="shared" si="13"/>
        <v>David Smith</v>
      </c>
      <c r="N88" s="10" t="str">
        <f t="shared" si="14"/>
        <v>Female</v>
      </c>
      <c r="O88" s="10" t="str">
        <f t="shared" si="15"/>
        <v>Chair</v>
      </c>
      <c r="P88" s="10" t="str">
        <f t="shared" si="16"/>
        <v>Furniture</v>
      </c>
      <c r="Q88" s="12" t="str">
        <f t="shared" si="17"/>
        <v>8</v>
      </c>
      <c r="R88" s="12" t="str">
        <f t="shared" si="18"/>
        <v>95</v>
      </c>
      <c r="S88" s="10" t="str">
        <f t="shared" si="19"/>
        <v>Lome</v>
      </c>
      <c r="T88" s="10" t="str">
        <f t="shared" si="20"/>
        <v>Alice</v>
      </c>
      <c r="U88" s="12">
        <f t="shared" si="21"/>
        <v>760</v>
      </c>
      <c r="V88" s="12" t="str">
        <f t="shared" si="22"/>
        <v>High</v>
      </c>
    </row>
    <row r="89" spans="1:22" x14ac:dyDescent="0.25">
      <c r="A89" s="10">
        <v>89</v>
      </c>
      <c r="B89" s="11">
        <v>46164</v>
      </c>
      <c r="C89" s="10" t="s">
        <v>31</v>
      </c>
      <c r="D89" s="10" t="s">
        <v>11</v>
      </c>
      <c r="E89" s="10" t="s">
        <v>21</v>
      </c>
      <c r="F89" s="10" t="s">
        <v>13</v>
      </c>
      <c r="G89" s="10">
        <v>4</v>
      </c>
      <c r="H89" s="10">
        <v>25</v>
      </c>
      <c r="I89" s="10" t="s">
        <v>42</v>
      </c>
      <c r="J89" s="10" t="s">
        <v>27</v>
      </c>
      <c r="K89" s="12" t="str">
        <f t="shared" si="12"/>
        <v>89</v>
      </c>
      <c r="L89" s="12" t="s">
        <v>135</v>
      </c>
      <c r="M89" s="10" t="str">
        <f t="shared" si="13"/>
        <v xml:space="preserve"> Mary Boakye </v>
      </c>
      <c r="N89" s="10" t="str">
        <f t="shared" si="14"/>
        <v>Female</v>
      </c>
      <c r="O89" s="10" t="str">
        <f t="shared" si="15"/>
        <v>Mouse</v>
      </c>
      <c r="P89" s="10" t="str">
        <f t="shared" si="16"/>
        <v>Electronics</v>
      </c>
      <c r="Q89" s="12" t="str">
        <f t="shared" si="17"/>
        <v>4</v>
      </c>
      <c r="R89" s="12" t="str">
        <f t="shared" si="18"/>
        <v>25</v>
      </c>
      <c r="S89" s="10" t="str">
        <f t="shared" si="19"/>
        <v>Kumasi</v>
      </c>
      <c r="T89" s="10" t="str">
        <f t="shared" si="20"/>
        <v>Alice</v>
      </c>
      <c r="U89" s="12">
        <f t="shared" si="21"/>
        <v>100</v>
      </c>
      <c r="V89" s="12" t="str">
        <f t="shared" si="22"/>
        <v>Low</v>
      </c>
    </row>
    <row r="90" spans="1:22" x14ac:dyDescent="0.25">
      <c r="A90" s="10">
        <v>90</v>
      </c>
      <c r="B90" s="11">
        <v>46376</v>
      </c>
      <c r="C90" s="10" t="s">
        <v>20</v>
      </c>
      <c r="D90" s="10" t="s">
        <v>39</v>
      </c>
      <c r="E90" s="10" t="s">
        <v>44</v>
      </c>
      <c r="F90" s="10" t="s">
        <v>34</v>
      </c>
      <c r="G90" s="10">
        <v>0</v>
      </c>
      <c r="H90" s="10">
        <v>95</v>
      </c>
      <c r="I90" s="10" t="s">
        <v>35</v>
      </c>
      <c r="J90" s="10" t="s">
        <v>25</v>
      </c>
      <c r="K90" s="12" t="str">
        <f t="shared" si="12"/>
        <v>90</v>
      </c>
      <c r="L90" s="12" t="s">
        <v>136</v>
      </c>
      <c r="M90" s="10" t="str">
        <f t="shared" si="13"/>
        <v>James Cole</v>
      </c>
      <c r="N90" s="10" t="str">
        <f t="shared" si="14"/>
        <v>Male</v>
      </c>
      <c r="O90" s="10" t="str">
        <f t="shared" si="15"/>
        <v>Chair</v>
      </c>
      <c r="P90" s="10" t="str">
        <f t="shared" si="16"/>
        <v>Furniture</v>
      </c>
      <c r="Q90" s="12" t="str">
        <f t="shared" si="17"/>
        <v>0</v>
      </c>
      <c r="R90" s="12" t="str">
        <f t="shared" si="18"/>
        <v>95</v>
      </c>
      <c r="S90" s="10" t="str">
        <f t="shared" si="19"/>
        <v>Lagos</v>
      </c>
      <c r="T90" s="10" t="str">
        <f t="shared" si="20"/>
        <v>Diana</v>
      </c>
      <c r="U90" s="12">
        <f t="shared" si="21"/>
        <v>0</v>
      </c>
      <c r="V90" s="12" t="str">
        <f t="shared" si="22"/>
        <v>Low</v>
      </c>
    </row>
    <row r="91" spans="1:22" x14ac:dyDescent="0.25">
      <c r="A91" s="10">
        <v>91</v>
      </c>
      <c r="B91" s="11">
        <v>46168</v>
      </c>
      <c r="C91" s="10" t="s">
        <v>41</v>
      </c>
      <c r="D91" s="10" t="s">
        <v>11</v>
      </c>
      <c r="E91" s="10" t="s">
        <v>18</v>
      </c>
      <c r="F91" s="10" t="s">
        <v>13</v>
      </c>
      <c r="G91" s="10">
        <v>4</v>
      </c>
      <c r="H91" s="10">
        <v>1200</v>
      </c>
      <c r="I91" s="10" t="s">
        <v>14</v>
      </c>
      <c r="J91" s="10" t="s">
        <v>23</v>
      </c>
      <c r="K91" s="12" t="str">
        <f t="shared" si="12"/>
        <v>91</v>
      </c>
      <c r="L91" s="12" t="s">
        <v>137</v>
      </c>
      <c r="M91" s="10" t="str">
        <f t="shared" si="13"/>
        <v>David Smith</v>
      </c>
      <c r="N91" s="10" t="str">
        <f t="shared" si="14"/>
        <v>Female</v>
      </c>
      <c r="O91" s="10" t="str">
        <f t="shared" si="15"/>
        <v>Laptop</v>
      </c>
      <c r="P91" s="10" t="str">
        <f t="shared" si="16"/>
        <v>Electronics</v>
      </c>
      <c r="Q91" s="12" t="str">
        <f t="shared" si="17"/>
        <v>4</v>
      </c>
      <c r="R91" s="12" t="str">
        <f t="shared" si="18"/>
        <v>1200</v>
      </c>
      <c r="S91" s="10" t="str">
        <f t="shared" si="19"/>
        <v xml:space="preserve">Accra </v>
      </c>
      <c r="T91" s="10" t="str">
        <f t="shared" si="20"/>
        <v>Bob</v>
      </c>
      <c r="U91" s="12">
        <f t="shared" si="21"/>
        <v>4800</v>
      </c>
      <c r="V91" s="12" t="str">
        <f t="shared" si="22"/>
        <v>High</v>
      </c>
    </row>
    <row r="92" spans="1:22" x14ac:dyDescent="0.25">
      <c r="A92" s="10">
        <v>92</v>
      </c>
      <c r="B92" s="11">
        <v>46055</v>
      </c>
      <c r="C92" s="10" t="s">
        <v>24</v>
      </c>
      <c r="D92" s="10" t="s">
        <v>39</v>
      </c>
      <c r="E92" s="10" t="s">
        <v>33</v>
      </c>
      <c r="F92" s="10" t="s">
        <v>34</v>
      </c>
      <c r="G92" s="10">
        <v>3</v>
      </c>
      <c r="H92" s="10">
        <v>180</v>
      </c>
      <c r="I92" s="10" t="s">
        <v>35</v>
      </c>
      <c r="J92" s="10" t="s">
        <v>25</v>
      </c>
      <c r="K92" s="12" t="str">
        <f t="shared" si="12"/>
        <v>92</v>
      </c>
      <c r="L92" s="12" t="s">
        <v>138</v>
      </c>
      <c r="M92" s="10" t="str">
        <f t="shared" si="13"/>
        <v>Kofi Asare</v>
      </c>
      <c r="N92" s="10" t="str">
        <f t="shared" si="14"/>
        <v>Male</v>
      </c>
      <c r="O92" s="10" t="str">
        <f t="shared" si="15"/>
        <v>Desk</v>
      </c>
      <c r="P92" s="10" t="str">
        <f t="shared" si="16"/>
        <v>Furniture</v>
      </c>
      <c r="Q92" s="12" t="str">
        <f t="shared" si="17"/>
        <v>3</v>
      </c>
      <c r="R92" s="12" t="str">
        <f t="shared" si="18"/>
        <v>180</v>
      </c>
      <c r="S92" s="10" t="str">
        <f t="shared" si="19"/>
        <v>Lagos</v>
      </c>
      <c r="T92" s="10" t="str">
        <f t="shared" si="20"/>
        <v>Diana</v>
      </c>
      <c r="U92" s="12">
        <f t="shared" si="21"/>
        <v>540</v>
      </c>
      <c r="V92" s="12" t="str">
        <f t="shared" si="22"/>
        <v>High</v>
      </c>
    </row>
    <row r="93" spans="1:22" x14ac:dyDescent="0.25">
      <c r="A93" s="10">
        <v>93</v>
      </c>
      <c r="B93" s="11">
        <v>46366</v>
      </c>
      <c r="C93" s="10" t="s">
        <v>38</v>
      </c>
      <c r="D93" s="10" t="s">
        <v>39</v>
      </c>
      <c r="E93" s="10" t="s">
        <v>18</v>
      </c>
      <c r="F93" s="10" t="s">
        <v>13</v>
      </c>
      <c r="G93" s="10">
        <v>8</v>
      </c>
      <c r="H93" s="10">
        <v>1200</v>
      </c>
      <c r="I93" s="10" t="s">
        <v>19</v>
      </c>
      <c r="J93" s="10" t="s">
        <v>15</v>
      </c>
      <c r="K93" s="12" t="str">
        <f t="shared" si="12"/>
        <v>93</v>
      </c>
      <c r="L93" s="12" t="s">
        <v>77</v>
      </c>
      <c r="M93" s="10" t="str">
        <f t="shared" si="13"/>
        <v>Linda King</v>
      </c>
      <c r="N93" s="10" t="str">
        <f t="shared" si="14"/>
        <v>Male</v>
      </c>
      <c r="O93" s="10" t="str">
        <f t="shared" si="15"/>
        <v>Laptop</v>
      </c>
      <c r="P93" s="10" t="str">
        <f t="shared" si="16"/>
        <v>Electronics</v>
      </c>
      <c r="Q93" s="12" t="str">
        <f t="shared" si="17"/>
        <v>8</v>
      </c>
      <c r="R93" s="12" t="str">
        <f t="shared" si="18"/>
        <v>1200</v>
      </c>
      <c r="S93" s="10" t="str">
        <f t="shared" si="19"/>
        <v>Accra</v>
      </c>
      <c r="T93" s="10" t="str">
        <f t="shared" si="20"/>
        <v>Emeka</v>
      </c>
      <c r="U93" s="12">
        <f t="shared" si="21"/>
        <v>9600</v>
      </c>
      <c r="V93" s="12" t="str">
        <f t="shared" si="22"/>
        <v>High</v>
      </c>
    </row>
    <row r="94" spans="1:22" x14ac:dyDescent="0.25">
      <c r="A94" s="10">
        <v>94</v>
      </c>
      <c r="B94" s="11">
        <v>46367</v>
      </c>
      <c r="C94" s="10" t="s">
        <v>41</v>
      </c>
      <c r="D94" s="10" t="s">
        <v>39</v>
      </c>
      <c r="E94" s="10" t="s">
        <v>18</v>
      </c>
      <c r="F94" s="10" t="s">
        <v>13</v>
      </c>
      <c r="G94" s="10">
        <v>0</v>
      </c>
      <c r="H94" s="10">
        <v>1200</v>
      </c>
      <c r="I94" s="10" t="s">
        <v>14</v>
      </c>
      <c r="J94" s="10" t="s">
        <v>15</v>
      </c>
      <c r="K94" s="12" t="str">
        <f t="shared" si="12"/>
        <v>94</v>
      </c>
      <c r="L94" s="12" t="s">
        <v>82</v>
      </c>
      <c r="M94" s="10" t="str">
        <f t="shared" si="13"/>
        <v>David Smith</v>
      </c>
      <c r="N94" s="10" t="str">
        <f t="shared" si="14"/>
        <v>Male</v>
      </c>
      <c r="O94" s="10" t="str">
        <f t="shared" si="15"/>
        <v>Laptop</v>
      </c>
      <c r="P94" s="10" t="str">
        <f t="shared" si="16"/>
        <v>Electronics</v>
      </c>
      <c r="Q94" s="12" t="str">
        <f t="shared" si="17"/>
        <v>0</v>
      </c>
      <c r="R94" s="12" t="str">
        <f t="shared" si="18"/>
        <v>1200</v>
      </c>
      <c r="S94" s="10" t="str">
        <f t="shared" si="19"/>
        <v xml:space="preserve">Accra </v>
      </c>
      <c r="T94" s="10" t="str">
        <f t="shared" si="20"/>
        <v>Emeka</v>
      </c>
      <c r="U94" s="12">
        <f t="shared" si="21"/>
        <v>0</v>
      </c>
      <c r="V94" s="12" t="str">
        <f t="shared" si="22"/>
        <v>Low</v>
      </c>
    </row>
    <row r="95" spans="1:22" x14ac:dyDescent="0.25">
      <c r="A95" s="10">
        <v>95</v>
      </c>
      <c r="B95" s="11">
        <v>46353</v>
      </c>
      <c r="C95" s="10" t="s">
        <v>10</v>
      </c>
      <c r="D95" s="10" t="s">
        <v>47</v>
      </c>
      <c r="E95" s="10" t="s">
        <v>29</v>
      </c>
      <c r="F95" s="10" t="s">
        <v>30</v>
      </c>
      <c r="G95" s="10">
        <v>0</v>
      </c>
      <c r="H95" s="10">
        <v>5</v>
      </c>
      <c r="I95" s="10" t="s">
        <v>26</v>
      </c>
      <c r="J95" s="10" t="s">
        <v>15</v>
      </c>
      <c r="K95" s="12" t="str">
        <f t="shared" si="12"/>
        <v>95</v>
      </c>
      <c r="L95" s="12" t="s">
        <v>139</v>
      </c>
      <c r="M95" s="10" t="str">
        <f t="shared" si="13"/>
        <v>Peter Doe</v>
      </c>
      <c r="N95" s="10" t="str">
        <f t="shared" si="14"/>
        <v>Unknown</v>
      </c>
      <c r="O95" s="10" t="str">
        <f t="shared" si="15"/>
        <v>Notebook</v>
      </c>
      <c r="P95" s="10" t="str">
        <f t="shared" si="16"/>
        <v>Stationery</v>
      </c>
      <c r="Q95" s="12" t="str">
        <f t="shared" si="17"/>
        <v>0</v>
      </c>
      <c r="R95" s="12" t="str">
        <f t="shared" si="18"/>
        <v>5</v>
      </c>
      <c r="S95" s="10" t="str">
        <f t="shared" si="19"/>
        <v>Abuja</v>
      </c>
      <c r="T95" s="10" t="str">
        <f t="shared" si="20"/>
        <v>Emeka</v>
      </c>
      <c r="U95" s="12">
        <f t="shared" si="21"/>
        <v>0</v>
      </c>
      <c r="V95" s="12" t="str">
        <f t="shared" si="22"/>
        <v>Low</v>
      </c>
    </row>
    <row r="96" spans="1:22" x14ac:dyDescent="0.25">
      <c r="A96" s="10">
        <v>96</v>
      </c>
      <c r="B96" s="11">
        <v>46148</v>
      </c>
      <c r="C96" s="10" t="s">
        <v>41</v>
      </c>
      <c r="D96" s="10" t="s">
        <v>32</v>
      </c>
      <c r="E96" s="10" t="s">
        <v>12</v>
      </c>
      <c r="F96" s="10" t="s">
        <v>13</v>
      </c>
      <c r="G96" s="10">
        <v>8</v>
      </c>
      <c r="H96" s="10">
        <v>250</v>
      </c>
      <c r="I96" s="10" t="s">
        <v>19</v>
      </c>
      <c r="J96" s="10" t="s">
        <v>25</v>
      </c>
      <c r="K96" s="12" t="str">
        <f t="shared" si="12"/>
        <v>96</v>
      </c>
      <c r="L96" s="12" t="s">
        <v>140</v>
      </c>
      <c r="M96" s="10" t="str">
        <f t="shared" si="13"/>
        <v>David Smith</v>
      </c>
      <c r="N96" s="10" t="str">
        <f t="shared" si="14"/>
        <v>Female</v>
      </c>
      <c r="O96" s="10" t="str">
        <f t="shared" si="15"/>
        <v>Printer</v>
      </c>
      <c r="P96" s="10" t="str">
        <f t="shared" si="16"/>
        <v>Electronics</v>
      </c>
      <c r="Q96" s="12" t="str">
        <f t="shared" si="17"/>
        <v>8</v>
      </c>
      <c r="R96" s="12" t="str">
        <f t="shared" si="18"/>
        <v>250</v>
      </c>
      <c r="S96" s="10" t="str">
        <f t="shared" si="19"/>
        <v>Accra</v>
      </c>
      <c r="T96" s="10" t="str">
        <f t="shared" si="20"/>
        <v>Diana</v>
      </c>
      <c r="U96" s="12">
        <f t="shared" si="21"/>
        <v>2000</v>
      </c>
      <c r="V96" s="12" t="str">
        <f t="shared" si="22"/>
        <v>High</v>
      </c>
    </row>
    <row r="97" spans="1:22" x14ac:dyDescent="0.25">
      <c r="A97" s="10">
        <v>97</v>
      </c>
      <c r="B97" s="11">
        <v>46184</v>
      </c>
      <c r="C97" s="10" t="s">
        <v>31</v>
      </c>
      <c r="D97" s="10" t="s">
        <v>11</v>
      </c>
      <c r="E97" s="10" t="s">
        <v>33</v>
      </c>
      <c r="F97" s="10" t="s">
        <v>34</v>
      </c>
      <c r="G97" s="10">
        <v>7</v>
      </c>
      <c r="H97" s="10">
        <v>180</v>
      </c>
      <c r="I97" s="10" t="s">
        <v>35</v>
      </c>
      <c r="J97" s="10" t="s">
        <v>25</v>
      </c>
      <c r="K97" s="12" t="str">
        <f t="shared" si="12"/>
        <v>97</v>
      </c>
      <c r="L97" s="12" t="s">
        <v>141</v>
      </c>
      <c r="M97" s="10" t="str">
        <f t="shared" si="13"/>
        <v xml:space="preserve"> Mary Boakye </v>
      </c>
      <c r="N97" s="10" t="str">
        <f t="shared" si="14"/>
        <v>Female</v>
      </c>
      <c r="O97" s="10" t="str">
        <f t="shared" si="15"/>
        <v>Desk</v>
      </c>
      <c r="P97" s="10" t="str">
        <f t="shared" si="16"/>
        <v>Furniture</v>
      </c>
      <c r="Q97" s="12" t="str">
        <f t="shared" si="17"/>
        <v>7</v>
      </c>
      <c r="R97" s="12" t="str">
        <f t="shared" si="18"/>
        <v>180</v>
      </c>
      <c r="S97" s="10" t="str">
        <f t="shared" si="19"/>
        <v>Lagos</v>
      </c>
      <c r="T97" s="10" t="str">
        <f t="shared" si="20"/>
        <v>Diana</v>
      </c>
      <c r="U97" s="12">
        <f t="shared" si="21"/>
        <v>1260</v>
      </c>
      <c r="V97" s="12" t="str">
        <f t="shared" si="22"/>
        <v>High</v>
      </c>
    </row>
    <row r="98" spans="1:22" x14ac:dyDescent="0.25">
      <c r="A98" s="10">
        <v>98</v>
      </c>
      <c r="B98" s="11">
        <v>46237</v>
      </c>
      <c r="C98" s="10" t="s">
        <v>28</v>
      </c>
      <c r="D98" s="10" t="s">
        <v>39</v>
      </c>
      <c r="E98" s="10" t="s">
        <v>29</v>
      </c>
      <c r="F98" s="10" t="s">
        <v>30</v>
      </c>
      <c r="G98" s="10">
        <v>1</v>
      </c>
      <c r="H98" s="10">
        <v>5</v>
      </c>
      <c r="I98" s="10" t="s">
        <v>26</v>
      </c>
      <c r="J98" s="10" t="s">
        <v>15</v>
      </c>
      <c r="K98" s="12" t="str">
        <f t="shared" si="12"/>
        <v>98</v>
      </c>
      <c r="L98" s="12" t="s">
        <v>142</v>
      </c>
      <c r="M98" s="10" t="str">
        <f t="shared" si="13"/>
        <v>Sarah Ann</v>
      </c>
      <c r="N98" s="10" t="str">
        <f t="shared" si="14"/>
        <v>Male</v>
      </c>
      <c r="O98" s="10" t="str">
        <f t="shared" si="15"/>
        <v>Notebook</v>
      </c>
      <c r="P98" s="10" t="str">
        <f t="shared" si="16"/>
        <v>Stationery</v>
      </c>
      <c r="Q98" s="12" t="str">
        <f t="shared" si="17"/>
        <v>1</v>
      </c>
      <c r="R98" s="12" t="str">
        <f t="shared" si="18"/>
        <v>5</v>
      </c>
      <c r="S98" s="10" t="str">
        <f t="shared" si="19"/>
        <v>Abuja</v>
      </c>
      <c r="T98" s="10" t="str">
        <f t="shared" si="20"/>
        <v>Emeka</v>
      </c>
      <c r="U98" s="12">
        <f t="shared" si="21"/>
        <v>5</v>
      </c>
      <c r="V98" s="12" t="str">
        <f t="shared" si="22"/>
        <v>Low</v>
      </c>
    </row>
    <row r="99" spans="1:22" x14ac:dyDescent="0.25">
      <c r="A99" s="10">
        <v>99</v>
      </c>
      <c r="B99" s="11">
        <v>46248</v>
      </c>
      <c r="C99" s="10" t="s">
        <v>16</v>
      </c>
      <c r="D99" s="10" t="s">
        <v>11</v>
      </c>
      <c r="E99" s="10" t="s">
        <v>18</v>
      </c>
      <c r="F99" s="10" t="s">
        <v>13</v>
      </c>
      <c r="G99" s="10">
        <v>9</v>
      </c>
      <c r="H99" s="10">
        <v>1200</v>
      </c>
      <c r="I99" s="10" t="s">
        <v>26</v>
      </c>
      <c r="J99" s="10" t="s">
        <v>25</v>
      </c>
      <c r="K99" s="12" t="str">
        <f t="shared" si="12"/>
        <v>99</v>
      </c>
      <c r="L99" s="12" t="s">
        <v>143</v>
      </c>
      <c r="M99" s="10" t="str">
        <f t="shared" si="13"/>
        <v>John Mensah</v>
      </c>
      <c r="N99" s="10" t="str">
        <f t="shared" si="14"/>
        <v>Female</v>
      </c>
      <c r="O99" s="10" t="str">
        <f t="shared" si="15"/>
        <v>Laptop</v>
      </c>
      <c r="P99" s="10" t="str">
        <f t="shared" si="16"/>
        <v>Electronics</v>
      </c>
      <c r="Q99" s="12" t="str">
        <f t="shared" si="17"/>
        <v>9</v>
      </c>
      <c r="R99" s="12" t="str">
        <f t="shared" si="18"/>
        <v>1200</v>
      </c>
      <c r="S99" s="10" t="str">
        <f t="shared" si="19"/>
        <v>Abuja</v>
      </c>
      <c r="T99" s="10" t="str">
        <f t="shared" si="20"/>
        <v>Diana</v>
      </c>
      <c r="U99" s="12">
        <f t="shared" si="21"/>
        <v>10800</v>
      </c>
      <c r="V99" s="12" t="str">
        <f t="shared" si="22"/>
        <v>High</v>
      </c>
    </row>
    <row r="100" spans="1:22" x14ac:dyDescent="0.25">
      <c r="A100" s="10">
        <v>100</v>
      </c>
      <c r="B100" s="11">
        <v>46160</v>
      </c>
      <c r="C100" s="10" t="s">
        <v>24</v>
      </c>
      <c r="D100" s="10" t="s">
        <v>39</v>
      </c>
      <c r="E100" s="10" t="s">
        <v>18</v>
      </c>
      <c r="F100" s="10" t="s">
        <v>13</v>
      </c>
      <c r="G100" s="10">
        <v>4</v>
      </c>
      <c r="H100" s="10">
        <v>1200</v>
      </c>
      <c r="I100" s="10" t="s">
        <v>19</v>
      </c>
      <c r="J100" s="10" t="s">
        <v>27</v>
      </c>
      <c r="K100" s="12" t="str">
        <f t="shared" si="12"/>
        <v>100</v>
      </c>
      <c r="L100" s="12" t="s">
        <v>144</v>
      </c>
      <c r="M100" s="10" t="str">
        <f t="shared" si="13"/>
        <v>Kofi Asare</v>
      </c>
      <c r="N100" s="10" t="str">
        <f t="shared" si="14"/>
        <v>Male</v>
      </c>
      <c r="O100" s="10" t="str">
        <f t="shared" si="15"/>
        <v>Laptop</v>
      </c>
      <c r="P100" s="10" t="str">
        <f t="shared" si="16"/>
        <v>Electronics</v>
      </c>
      <c r="Q100" s="12" t="str">
        <f t="shared" si="17"/>
        <v>4</v>
      </c>
      <c r="R100" s="12" t="str">
        <f t="shared" si="18"/>
        <v>1200</v>
      </c>
      <c r="S100" s="10" t="str">
        <f t="shared" si="19"/>
        <v>Accra</v>
      </c>
      <c r="T100" s="10" t="str">
        <f t="shared" si="20"/>
        <v>Alice</v>
      </c>
      <c r="U100" s="12">
        <f t="shared" si="21"/>
        <v>4800</v>
      </c>
      <c r="V100" s="12" t="str">
        <f t="shared" si="22"/>
        <v>High</v>
      </c>
    </row>
    <row r="102" spans="1:22" ht="26.25" x14ac:dyDescent="0.4">
      <c r="A102" s="6" t="s">
        <v>145</v>
      </c>
      <c r="B102" s="2"/>
    </row>
    <row r="103" spans="1:22" ht="18.75" x14ac:dyDescent="0.3">
      <c r="A103" s="15" t="s">
        <v>146</v>
      </c>
      <c r="B103" s="13">
        <f>SUM(U2:U100)</f>
        <v>199705</v>
      </c>
    </row>
    <row r="104" spans="1:22" ht="21" x14ac:dyDescent="0.35">
      <c r="A104" s="16" t="s">
        <v>155</v>
      </c>
      <c r="B104" s="13">
        <f>AVERAGE(U2:U100)</f>
        <v>2017.2222222222222</v>
      </c>
    </row>
    <row r="105" spans="1:22" ht="18.75" x14ac:dyDescent="0.3">
      <c r="A105" s="15" t="s">
        <v>147</v>
      </c>
      <c r="B105" s="13">
        <f>MAX(U2:U100)</f>
        <v>12000</v>
      </c>
    </row>
    <row r="106" spans="1:22" ht="18.75" x14ac:dyDescent="0.3">
      <c r="A106" s="15" t="s">
        <v>148</v>
      </c>
      <c r="B106" s="13">
        <f>_xlfn.AGGREGATE(15,6,U:U/(U:U&gt;0),1)</f>
        <v>5</v>
      </c>
    </row>
    <row r="107" spans="1:22" ht="18.75" x14ac:dyDescent="0.3">
      <c r="A107" s="15" t="s">
        <v>149</v>
      </c>
      <c r="B107" s="14">
        <f>COUNT(A2:A100)</f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messy_sales_dataset_100_records</vt:lpstr>
      <vt:lpstr>SQL Dataset Project</vt:lpstr>
      <vt:lpstr>Catergory Pivot Table</vt:lpstr>
      <vt:lpstr>City Pivot Table </vt:lpstr>
      <vt:lpstr>Gender Pivot Table</vt:lpstr>
      <vt:lpstr>Cleaned 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2026-07-09T19:54:44Z</dcterms:created>
  <dcterms:modified xsi:type="dcterms:W3CDTF">2026-07-10T06:21:15Z</dcterms:modified>
</cp:coreProperties>
</file>